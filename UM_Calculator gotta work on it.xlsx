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owertechlabs-my.sharepoint.com/personal/jashan_gill_powertechlabs_com/Documents/Desktop/"/>
    </mc:Choice>
  </mc:AlternateContent>
  <xr:revisionPtr revIDLastSave="1" documentId="8_{21D877DC-B610-4C66-86A7-5F20F81CF85D}" xr6:coauthVersionLast="47" xr6:coauthVersionMax="47" xr10:uidLastSave="{1ED1618A-0D0D-47ED-B5A1-7E6ACBE80C6B}"/>
  <bookViews>
    <workbookView xWindow="28680" yWindow="-2610" windowWidth="29040" windowHeight="15720" tabRatio="500" xr2:uid="{00000000-000D-0000-FFFF-FFFF00000000}"/>
  </bookViews>
  <sheets>
    <sheet name="Cal" sheetId="5" r:id="rId1"/>
    <sheet name="Look up" sheetId="10" r:id="rId2"/>
  </sheets>
  <definedNames>
    <definedName name="Conax_T">'Look up'!$B$38</definedName>
    <definedName name="DAQ">'Look up'!$A$21:$A$34</definedName>
    <definedName name="K">'Look up'!$A$39</definedName>
    <definedName name="NI">'Look up'!$B$21:$B$34</definedName>
    <definedName name="NoShok">'Look up'!$B$10:$B$15</definedName>
    <definedName name="Omega_K">'Look up'!$B$39</definedName>
    <definedName name="Omega_T">'Look up'!$B$37</definedName>
    <definedName name="PT">'Look up'!$A$10:$A$18</definedName>
    <definedName name="Stellar">'Look up'!$B$16:$B$18</definedName>
    <definedName name="T">'Look up'!$A$37:$A$38</definedName>
    <definedName name="TC">'Look up'!$A$37:$A$38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5" l="1" a="1"/>
  <c r="D18" i="5" s="1"/>
  <c r="D19" i="5" s="1" a="1"/>
  <c r="D19" i="5" s="1"/>
  <c r="L9" i="10"/>
  <c r="C9" i="10"/>
  <c r="C12" i="10"/>
  <c r="C17" i="10"/>
  <c r="C16" i="10"/>
  <c r="I18" i="5" l="1" a="1"/>
  <c r="I18" i="5" s="1"/>
  <c r="G25" i="10"/>
  <c r="J25" i="10"/>
  <c r="J24" i="10"/>
  <c r="G22" i="10" l="1"/>
  <c r="J21" i="10"/>
  <c r="G21" i="10"/>
  <c r="C14" i="10"/>
  <c r="L38" i="10"/>
  <c r="L39" i="10" l="1"/>
  <c r="L37" i="10"/>
  <c r="I16" i="5" s="1" a="1"/>
  <c r="I16" i="5" s="1"/>
  <c r="I17" i="5" s="1" a="1"/>
  <c r="I17" i="5" s="1"/>
  <c r="I19" i="5" s="1"/>
  <c r="I20" i="5" s="1"/>
  <c r="D31" i="10"/>
  <c r="J31" i="10"/>
  <c r="G31" i="10"/>
  <c r="D29" i="10"/>
  <c r="J29" i="10"/>
  <c r="G29" i="10"/>
  <c r="D28" i="10"/>
  <c r="G28" i="10"/>
  <c r="J28" i="10"/>
  <c r="D27" i="10"/>
  <c r="D26" i="10"/>
  <c r="J27" i="10"/>
  <c r="G27" i="10"/>
  <c r="J26" i="10"/>
  <c r="G26" i="10"/>
  <c r="G23" i="10" l="1"/>
  <c r="J23" i="10"/>
  <c r="D22" i="10"/>
  <c r="J22" i="10"/>
  <c r="D25" i="10"/>
  <c r="L16" i="10" l="1"/>
  <c r="L17" i="10"/>
  <c r="C18" i="10"/>
  <c r="L18" i="10" s="1"/>
  <c r="C11" i="10" l="1"/>
  <c r="E11" i="10"/>
  <c r="E12" i="10"/>
  <c r="L12" i="10" s="1"/>
  <c r="C13" i="10"/>
  <c r="E13" i="10"/>
  <c r="C15" i="10"/>
  <c r="E15" i="10"/>
  <c r="L15" i="10" l="1"/>
  <c r="L11" i="10"/>
  <c r="L13" i="10"/>
  <c r="L14" i="10"/>
  <c r="D20" i="5" s="1"/>
  <c r="E10" i="10"/>
  <c r="C10" i="10"/>
  <c r="L10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<sst xmlns="http://schemas.openxmlformats.org/spreadsheetml/2006/main" count="240" uniqueCount="77">
  <si>
    <t>Thermal Error</t>
  </si>
  <si>
    <t>+/- FSO</t>
  </si>
  <si>
    <t>Gain Error</t>
  </si>
  <si>
    <t>V</t>
  </si>
  <si>
    <t>mV</t>
  </si>
  <si>
    <t>Thermocouple</t>
  </si>
  <si>
    <t xml:space="preserve">Pressure Transducer </t>
  </si>
  <si>
    <t>Offset Error</t>
  </si>
  <si>
    <t>Type</t>
  </si>
  <si>
    <t>°C</t>
  </si>
  <si>
    <t>MPa</t>
  </si>
  <si>
    <t>mV RMS</t>
  </si>
  <si>
    <t xml:space="preserve">Range </t>
  </si>
  <si>
    <t xml:space="preserve">Accuracy </t>
  </si>
  <si>
    <t>mV/°C</t>
  </si>
  <si>
    <t>Accuracy</t>
  </si>
  <si>
    <t>FSO</t>
  </si>
  <si>
    <t>PT Factor</t>
  </si>
  <si>
    <t>TC-Factor</t>
  </si>
  <si>
    <t>mA</t>
  </si>
  <si>
    <t>mA/MPa</t>
  </si>
  <si>
    <t>%</t>
  </si>
  <si>
    <t>NoShok</t>
  </si>
  <si>
    <t>Model</t>
  </si>
  <si>
    <t>Maker</t>
  </si>
  <si>
    <t>Max Input MPa</t>
  </si>
  <si>
    <t>GT16XX</t>
  </si>
  <si>
    <t>GT18XX</t>
  </si>
  <si>
    <t>GT32XX</t>
  </si>
  <si>
    <t xml:space="preserve">FSO </t>
  </si>
  <si>
    <t>Resolution</t>
  </si>
  <si>
    <t>V/MPa</t>
  </si>
  <si>
    <t>LOOK UP TABLE</t>
  </si>
  <si>
    <t>NI</t>
  </si>
  <si>
    <t>System Noise</t>
  </si>
  <si>
    <t>V RMS</t>
  </si>
  <si>
    <t xml:space="preserve">TC </t>
  </si>
  <si>
    <t>Voltage</t>
  </si>
  <si>
    <t>RTD</t>
  </si>
  <si>
    <t>Voltage ?</t>
  </si>
  <si>
    <t>Universal</t>
  </si>
  <si>
    <t>Counter</t>
  </si>
  <si>
    <t>8DO</t>
  </si>
  <si>
    <t>Units</t>
  </si>
  <si>
    <t>ohm</t>
  </si>
  <si>
    <t>ohm RMS</t>
  </si>
  <si>
    <t xml:space="preserve">Maker </t>
  </si>
  <si>
    <t xml:space="preserve">Max IN Temp </t>
  </si>
  <si>
    <t xml:space="preserve">Max OU Volt </t>
  </si>
  <si>
    <t xml:space="preserve">T-316SS12-U-MPJ-6	</t>
  </si>
  <si>
    <t>SP-BW-K-6</t>
  </si>
  <si>
    <t>Calculation</t>
  </si>
  <si>
    <t>Input Worst Case Pressure in MPa</t>
  </si>
  <si>
    <t>Uncertaintiy Measurement of Pressure Transducer with DAQ</t>
  </si>
  <si>
    <t>Stellar</t>
  </si>
  <si>
    <t>DAQ Uncertainty</t>
  </si>
  <si>
    <t xml:space="preserve">Equipment </t>
  </si>
  <si>
    <t>DAQ</t>
  </si>
  <si>
    <t>TC</t>
  </si>
  <si>
    <t>PT</t>
  </si>
  <si>
    <t>T</t>
  </si>
  <si>
    <t>K</t>
  </si>
  <si>
    <t>Omega_T</t>
  </si>
  <si>
    <t>Conax_T</t>
  </si>
  <si>
    <t>Omega_K</t>
  </si>
  <si>
    <t>Input Worst Case Thermocouple in °C</t>
  </si>
  <si>
    <t>Combined UM PT</t>
  </si>
  <si>
    <t xml:space="preserve">Expanded UM </t>
  </si>
  <si>
    <t>Equipment</t>
  </si>
  <si>
    <t>TC Uncertainty</t>
  </si>
  <si>
    <t>Combined UM</t>
  </si>
  <si>
    <t>PT Current</t>
  </si>
  <si>
    <t xml:space="preserve">Uncertaintiy Measurement </t>
  </si>
  <si>
    <t>Uncertaintiy Measurement of Thermalcouple  with DAQ</t>
  </si>
  <si>
    <t>PT41</t>
  </si>
  <si>
    <t>** Verify</t>
  </si>
  <si>
    <t>**Verify Chart values on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</si>
</sst>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0%"/>
    <numFmt numFmtId="166" formatCode="#,##0.00000000"/>
    <numFmt numFmtId="167" formatCode="#,##0.000"/>
  </numFmts>
  <fonts count="16" x14ac:knownFonts="1">
    <font>
      <sz val="10"/>
      <name val="Arial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name val="Aptos Narrow"/>
      <family val="2"/>
      <scheme val="minor"/>
    </font>
    <font>
      <sz val="10"/>
      <color rgb="FFFF0000"/>
      <name val="Arial"/>
      <family val="2"/>
    </font>
    <font>
      <b/>
      <sz val="28"/>
      <name val="Arial"/>
      <family val="2"/>
    </font>
    <font>
      <sz val="36"/>
      <name val="Arial"/>
      <family val="2"/>
    </font>
    <font>
      <sz val="10"/>
      <color theme="1"/>
      <name val="Arial"/>
      <family val="2"/>
    </font>
    <font>
      <strike/>
      <sz val="10"/>
      <color rgb="FFFF0000"/>
      <name val="Arial"/>
      <family val="2"/>
    </font>
    <font>
      <strike/>
      <sz val="11"/>
      <color rgb="FFFF0000"/>
      <name val="Aptos Narrow"/>
      <family val="2"/>
      <scheme val="minor"/>
    </font>
    <font>
      <strike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Border="0" applyAlignment="0" applyProtection="0"/>
    <xf numFmtId="0" fontId="2" fillId="2" borderId="0" applyNumberFormat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3" borderId="0" xfId="0" applyFill="1" applyAlignment="1">
      <alignment horizontal="center"/>
    </xf>
    <xf numFmtId="0" fontId="0" fillId="3" borderId="0" xfId="0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0" fillId="3" borderId="2" xfId="0" applyFill="1" applyBorder="1"/>
    <xf numFmtId="0" fontId="0" fillId="3" borderId="5" xfId="0" applyFill="1" applyBorder="1"/>
    <xf numFmtId="0" fontId="6" fillId="0" borderId="0" xfId="0" applyFont="1"/>
    <xf numFmtId="0" fontId="0" fillId="0" borderId="0" xfId="1" applyNumberFormat="1" applyFont="1" applyBorder="1"/>
    <xf numFmtId="0" fontId="9" fillId="0" borderId="0" xfId="0" applyFont="1"/>
    <xf numFmtId="165" fontId="3" fillId="0" borderId="0" xfId="1" applyNumberFormat="1"/>
    <xf numFmtId="0" fontId="3" fillId="3" borderId="12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3" fillId="3" borderId="16" xfId="0" applyFont="1" applyFill="1" applyBorder="1" applyAlignment="1">
      <alignment horizontal="center"/>
    </xf>
    <xf numFmtId="0" fontId="0" fillId="3" borderId="16" xfId="0" applyFill="1" applyBorder="1"/>
    <xf numFmtId="0" fontId="0" fillId="3" borderId="17" xfId="0" applyFill="1" applyBorder="1"/>
    <xf numFmtId="0" fontId="0" fillId="3" borderId="7" xfId="0" applyFill="1" applyBorder="1"/>
    <xf numFmtId="0" fontId="0" fillId="3" borderId="8" xfId="0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3" fillId="3" borderId="10" xfId="0" applyFont="1" applyFill="1" applyBorder="1" applyAlignment="1">
      <alignment horizontal="left"/>
    </xf>
    <xf numFmtId="0" fontId="0" fillId="3" borderId="11" xfId="0" applyFill="1" applyBorder="1"/>
    <xf numFmtId="0" fontId="3" fillId="3" borderId="0" xfId="0" applyFont="1" applyFill="1" applyAlignment="1">
      <alignment horizontal="center"/>
    </xf>
    <xf numFmtId="0" fontId="0" fillId="3" borderId="12" xfId="0" applyFill="1" applyBorder="1"/>
    <xf numFmtId="0" fontId="7" fillId="3" borderId="4" xfId="0" applyFont="1" applyFill="1" applyBorder="1" applyAlignment="1">
      <alignment horizontal="center"/>
    </xf>
    <xf numFmtId="0" fontId="6" fillId="3" borderId="0" xfId="2" applyFont="1" applyFill="1" applyBorder="1"/>
    <xf numFmtId="0" fontId="6" fillId="3" borderId="5" xfId="2" applyFont="1" applyFill="1" applyBorder="1"/>
    <xf numFmtId="0" fontId="3" fillId="3" borderId="4" xfId="0" applyFont="1" applyFill="1" applyBorder="1" applyAlignment="1">
      <alignment horizontal="left"/>
    </xf>
    <xf numFmtId="0" fontId="3" fillId="3" borderId="0" xfId="1" applyNumberFormat="1" applyFill="1" applyBorder="1" applyAlignment="1">
      <alignment horizontal="center"/>
    </xf>
    <xf numFmtId="3" fontId="8" fillId="3" borderId="0" xfId="1" applyNumberFormat="1" applyFont="1" applyFill="1" applyBorder="1"/>
    <xf numFmtId="0" fontId="3" fillId="3" borderId="0" xfId="1" applyNumberFormat="1" applyFill="1" applyBorder="1"/>
    <xf numFmtId="164" fontId="3" fillId="3" borderId="0" xfId="1" applyNumberFormat="1" applyFill="1" applyBorder="1"/>
    <xf numFmtId="10" fontId="3" fillId="3" borderId="0" xfId="1" applyNumberFormat="1" applyFill="1" applyBorder="1"/>
    <xf numFmtId="0" fontId="3" fillId="3" borderId="5" xfId="0" applyFont="1" applyFill="1" applyBorder="1"/>
    <xf numFmtId="0" fontId="3" fillId="3" borderId="6" xfId="0" applyFont="1" applyFill="1" applyBorder="1" applyAlignment="1">
      <alignment horizontal="left"/>
    </xf>
    <xf numFmtId="0" fontId="3" fillId="3" borderId="1" xfId="1" applyNumberFormat="1" applyFill="1" applyBorder="1" applyAlignment="1">
      <alignment horizontal="center"/>
    </xf>
    <xf numFmtId="3" fontId="8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0" fontId="3" fillId="3" borderId="1" xfId="1" applyNumberFormat="1" applyFill="1" applyBorder="1"/>
    <xf numFmtId="0" fontId="3" fillId="3" borderId="1" xfId="0" quotePrefix="1" applyFont="1" applyFill="1" applyBorder="1"/>
    <xf numFmtId="164" fontId="3" fillId="3" borderId="1" xfId="1" applyNumberFormat="1" applyFill="1" applyBorder="1"/>
    <xf numFmtId="0" fontId="3" fillId="3" borderId="1" xfId="0" applyFont="1" applyFill="1" applyBorder="1"/>
    <xf numFmtId="10" fontId="3" fillId="3" borderId="1" xfId="1" applyNumberFormat="1" applyFill="1" applyBorder="1"/>
    <xf numFmtId="0" fontId="3" fillId="3" borderId="3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0" xfId="1" applyNumberFormat="1" applyFill="1" applyBorder="1" applyAlignment="1">
      <alignment horizontal="left"/>
    </xf>
    <xf numFmtId="0" fontId="3" fillId="3" borderId="5" xfId="0" quotePrefix="1" applyFont="1" applyFill="1" applyBorder="1"/>
    <xf numFmtId="166" fontId="8" fillId="3" borderId="0" xfId="1" applyNumberFormat="1" applyFont="1" applyFill="1" applyBorder="1"/>
    <xf numFmtId="167" fontId="8" fillId="3" borderId="0" xfId="1" applyNumberFormat="1" applyFont="1" applyFill="1" applyBorder="1"/>
    <xf numFmtId="10" fontId="3" fillId="3" borderId="5" xfId="1" applyNumberFormat="1" applyFill="1" applyBorder="1"/>
    <xf numFmtId="0" fontId="0" fillId="3" borderId="0" xfId="1" applyNumberFormat="1" applyFont="1" applyFill="1" applyBorder="1"/>
    <xf numFmtId="0" fontId="7" fillId="3" borderId="5" xfId="0" applyFont="1" applyFill="1" applyBorder="1"/>
    <xf numFmtId="0" fontId="3" fillId="3" borderId="0" xfId="0" quotePrefix="1" applyFont="1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6" fillId="3" borderId="0" xfId="0" applyFont="1" applyFill="1"/>
    <xf numFmtId="0" fontId="3" fillId="3" borderId="0" xfId="0" quotePrefix="1" applyFont="1" applyFill="1" applyAlignment="1">
      <alignment horizontal="center"/>
    </xf>
    <xf numFmtId="0" fontId="12" fillId="3" borderId="0" xfId="1" applyNumberFormat="1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0" xfId="0" applyFont="1" applyFill="1" applyAlignment="1">
      <alignment horizontal="left"/>
    </xf>
    <xf numFmtId="0" fontId="13" fillId="3" borderId="0" xfId="1" applyNumberFormat="1" applyFont="1" applyFill="1" applyBorder="1"/>
    <xf numFmtId="167" fontId="14" fillId="3" borderId="0" xfId="1" applyNumberFormat="1" applyFont="1" applyFill="1" applyBorder="1"/>
    <xf numFmtId="0" fontId="13" fillId="3" borderId="0" xfId="0" applyFont="1" applyFill="1" applyAlignment="1">
      <alignment horizontal="center"/>
    </xf>
    <xf numFmtId="0" fontId="13" fillId="3" borderId="0" xfId="0" applyFont="1" applyFill="1"/>
    <xf numFmtId="0" fontId="13" fillId="3" borderId="0" xfId="0" quotePrefix="1" applyFont="1" applyFill="1"/>
    <xf numFmtId="0" fontId="13" fillId="3" borderId="5" xfId="0" applyFont="1" applyFill="1" applyBorder="1"/>
    <xf numFmtId="0" fontId="15" fillId="3" borderId="0" xfId="0" applyFont="1" applyFill="1" applyAlignment="1">
      <alignment horizontal="center"/>
    </xf>
    <xf numFmtId="164" fontId="13" fillId="3" borderId="0" xfId="1" applyNumberFormat="1" applyFont="1" applyFill="1" applyBorder="1"/>
    <xf numFmtId="0" fontId="15" fillId="0" borderId="0" xfId="0" applyFont="1"/>
    <xf numFmtId="0" fontId="15" fillId="0" borderId="0" xfId="0" applyFont="1" applyAlignment="1">
      <alignment horizontal="center"/>
    </xf>
    <xf numFmtId="3" fontId="14" fillId="3" borderId="0" xfId="1" applyNumberFormat="1" applyFont="1" applyFill="1" applyBorder="1"/>
    <xf numFmtId="0" fontId="13" fillId="0" borderId="0" xfId="0" applyFont="1" applyAlignment="1">
      <alignment horizontal="center"/>
    </xf>
    <xf numFmtId="0" fontId="13" fillId="3" borderId="5" xfId="0" quotePrefix="1" applyFont="1" applyFill="1" applyBorder="1"/>
    <xf numFmtId="0" fontId="13" fillId="0" borderId="0" xfId="0" applyFont="1"/>
    <xf numFmtId="0" fontId="12" fillId="3" borderId="4" xfId="0" applyFont="1" applyFill="1" applyBorder="1" applyAlignment="1">
      <alignment horizontal="center"/>
    </xf>
    <xf numFmtId="0" fontId="12" fillId="3" borderId="0" xfId="0" applyFont="1" applyFill="1" applyAlignment="1">
      <alignment horizontal="left"/>
    </xf>
    <xf numFmtId="3" fontId="1" fillId="3" borderId="0" xfId="1" applyNumberFormat="1" applyFont="1" applyFill="1" applyBorder="1"/>
    <xf numFmtId="0" fontId="12" fillId="3" borderId="0" xfId="0" applyFont="1" applyFill="1" applyAlignment="1">
      <alignment horizontal="center"/>
    </xf>
    <xf numFmtId="0" fontId="12" fillId="3" borderId="0" xfId="0" quotePrefix="1" applyFont="1" applyFill="1"/>
    <xf numFmtId="164" fontId="12" fillId="3" borderId="0" xfId="1" applyNumberFormat="1" applyFont="1" applyFill="1" applyBorder="1"/>
    <xf numFmtId="0" fontId="12" fillId="3" borderId="0" xfId="0" applyFont="1" applyFill="1"/>
    <xf numFmtId="0" fontId="12" fillId="3" borderId="5" xfId="0" quotePrefix="1" applyFont="1" applyFill="1" applyBorder="1"/>
    <xf numFmtId="0" fontId="12" fillId="0" borderId="0" xfId="0" applyFont="1"/>
    <xf numFmtId="0" fontId="12" fillId="0" borderId="0" xfId="0" applyFont="1" applyAlignment="1">
      <alignment horizontal="center"/>
    </xf>
    <xf numFmtId="0" fontId="3" fillId="3" borderId="9" xfId="0" applyFont="1" applyFill="1" applyBorder="1"/>
    <xf numFmtId="0" fontId="3" fillId="3" borderId="11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3" fillId="3" borderId="18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left"/>
    </xf>
    <xf numFmtId="0" fontId="0" fillId="3" borderId="15" xfId="0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0" fillId="4" borderId="0" xfId="0" applyFill="1"/>
    <xf numFmtId="0" fontId="11" fillId="3" borderId="1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</cellXfs>
  <cellStyles count="3">
    <cellStyle name="20% - Accent3" xfId="2" builtinId="3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A7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5A11-D407-4342-BC00-414D99CF1B05}">
  <sheetPr codeName="Sheet8"/>
  <dimension ref="A1:AJ169"/>
  <sheetViews>
    <sheetView tabSelected="1" zoomScale="115" zoomScaleNormal="115" workbookViewId="0">
      <selection activeCell="L31" sqref="L31"/>
    </sheetView>
  </sheetViews>
  <sheetFormatPr defaultColWidth="9.5703125" defaultRowHeight="12.75" x14ac:dyDescent="0.2"/>
  <cols>
    <col min="1" max="1" width="4.42578125" style="1" customWidth="1"/>
    <col min="2" max="2" width="14.85546875" style="1" customWidth="1"/>
    <col min="3" max="3" width="19.42578125" customWidth="1"/>
    <col min="4" max="4" width="16.85546875" style="1" customWidth="1"/>
    <col min="5" max="5" width="11.140625" style="1" customWidth="1"/>
    <col min="6" max="6" width="10.5703125" style="1" customWidth="1"/>
    <col min="7" max="7" width="15.5703125" style="1" customWidth="1"/>
    <col min="8" max="8" width="13.140625" style="1" customWidth="1"/>
    <col min="9" max="9" width="13.5703125" customWidth="1"/>
    <col min="10" max="10" width="11.28515625" customWidth="1"/>
    <col min="11" max="11" width="18.140625" customWidth="1"/>
    <col min="12" max="12" width="14.28515625" style="1" customWidth="1"/>
    <col min="13" max="13" width="4.85546875" customWidth="1"/>
    <col min="14" max="14" width="15.5703125" style="1" customWidth="1"/>
    <col min="15" max="15" width="12.85546875" style="1" customWidth="1"/>
    <col min="16" max="16" width="5.85546875" style="1" customWidth="1"/>
    <col min="17" max="17" width="10.85546875" style="1" customWidth="1"/>
    <col min="18" max="18" width="15.42578125" style="1" customWidth="1"/>
    <col min="19" max="19" width="13.5703125" style="1" customWidth="1"/>
    <col min="20" max="20" width="8.140625" customWidth="1"/>
  </cols>
  <sheetData>
    <row r="1" spans="1:36" ht="13.5" thickBot="1" x14ac:dyDescent="0.25">
      <c r="A1" s="3"/>
      <c r="B1" s="3"/>
      <c r="C1" s="4"/>
      <c r="D1" s="3"/>
      <c r="E1" s="3"/>
      <c r="F1" s="3"/>
      <c r="G1" s="3"/>
      <c r="H1" s="3"/>
      <c r="I1" s="4"/>
      <c r="J1" s="4"/>
      <c r="K1" s="4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8" customHeight="1" x14ac:dyDescent="0.2">
      <c r="A2" s="3"/>
      <c r="B2" s="106" t="s">
        <v>51</v>
      </c>
      <c r="C2" s="107"/>
      <c r="D2" s="107"/>
      <c r="E2" s="107"/>
      <c r="F2" s="107"/>
      <c r="G2" s="107"/>
      <c r="H2" s="107"/>
      <c r="I2" s="107"/>
      <c r="J2" s="107"/>
      <c r="K2" s="107"/>
      <c r="L2" s="10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x14ac:dyDescent="0.2">
      <c r="A3" s="3"/>
      <c r="B3" s="109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2">
      <c r="A4" s="3"/>
      <c r="B4" s="109"/>
      <c r="C4" s="110"/>
      <c r="D4" s="110"/>
      <c r="E4" s="110"/>
      <c r="F4" s="110"/>
      <c r="G4" s="110"/>
      <c r="H4" s="110"/>
      <c r="I4" s="110"/>
      <c r="J4" s="110"/>
      <c r="K4" s="110"/>
      <c r="L4" s="11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13.5" thickBot="1" x14ac:dyDescent="0.25">
      <c r="A5" s="3"/>
      <c r="B5" s="112"/>
      <c r="C5" s="113"/>
      <c r="D5" s="113"/>
      <c r="E5" s="113"/>
      <c r="F5" s="113"/>
      <c r="G5" s="113"/>
      <c r="H5" s="113"/>
      <c r="I5" s="113"/>
      <c r="J5" s="113"/>
      <c r="K5" s="113"/>
      <c r="L5" s="1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ht="13.5" thickBot="1" x14ac:dyDescent="0.25">
      <c r="A6" s="3"/>
      <c r="B6" s="22"/>
      <c r="C6" s="4"/>
      <c r="D6" s="4"/>
      <c r="E6" s="4"/>
      <c r="F6" s="4"/>
      <c r="G6" s="4"/>
      <c r="H6" s="4"/>
      <c r="I6" s="4"/>
      <c r="J6" s="4"/>
      <c r="K6" s="4"/>
      <c r="L6" s="2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3.5" thickBot="1" x14ac:dyDescent="0.25">
      <c r="A7" s="3"/>
      <c r="B7" s="22"/>
      <c r="C7" s="15" t="s">
        <v>72</v>
      </c>
      <c r="D7" s="16"/>
      <c r="E7" s="16"/>
      <c r="F7" s="17"/>
      <c r="G7" s="4"/>
      <c r="H7" s="3"/>
      <c r="I7" s="4"/>
      <c r="J7" s="4"/>
      <c r="K7" s="4"/>
      <c r="L7" s="9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13.5" thickBot="1" x14ac:dyDescent="0.25">
      <c r="A8" s="3"/>
      <c r="B8" s="22"/>
      <c r="C8" s="22"/>
      <c r="D8" s="4"/>
      <c r="E8" s="4"/>
      <c r="F8" s="23"/>
      <c r="G8" s="4"/>
      <c r="H8" s="32" t="s">
        <v>73</v>
      </c>
      <c r="I8" s="16"/>
      <c r="J8" s="16"/>
      <c r="K8" s="17"/>
      <c r="L8" s="9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ht="13.5" thickBot="1" x14ac:dyDescent="0.25">
      <c r="A9" s="3"/>
      <c r="B9" s="22"/>
      <c r="C9" s="25" t="s">
        <v>52</v>
      </c>
      <c r="D9" s="4"/>
      <c r="E9" s="4">
        <v>87</v>
      </c>
      <c r="F9" s="26" t="s">
        <v>10</v>
      </c>
      <c r="G9" s="4"/>
      <c r="H9" s="18" t="s">
        <v>56</v>
      </c>
      <c r="I9" s="100" t="s">
        <v>24</v>
      </c>
      <c r="J9" s="100" t="s">
        <v>23</v>
      </c>
      <c r="K9" s="21"/>
      <c r="L9" s="2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ht="13.5" thickBot="1" x14ac:dyDescent="0.25">
      <c r="A10" s="3"/>
      <c r="B10" s="22"/>
      <c r="C10" s="93" t="s">
        <v>65</v>
      </c>
      <c r="D10" s="28"/>
      <c r="E10" s="28">
        <v>35</v>
      </c>
      <c r="F10" s="94" t="s">
        <v>9</v>
      </c>
      <c r="G10" s="4"/>
      <c r="H10" s="18" t="s">
        <v>57</v>
      </c>
      <c r="I10" s="97" t="s">
        <v>33</v>
      </c>
      <c r="J10" s="101">
        <v>9213</v>
      </c>
      <c r="K10" s="21"/>
      <c r="L10" s="2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13.5" thickBot="1" x14ac:dyDescent="0.25">
      <c r="A11" s="3"/>
      <c r="B11" s="22"/>
      <c r="C11" s="5"/>
      <c r="D11" s="4"/>
      <c r="E11" s="4"/>
      <c r="F11" s="5"/>
      <c r="G11" s="4"/>
      <c r="H11" s="102"/>
      <c r="I11" s="20"/>
      <c r="J11" s="20"/>
      <c r="K11" s="21"/>
      <c r="L11" s="2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13.5" thickBot="1" x14ac:dyDescent="0.25">
      <c r="A12" s="3"/>
      <c r="B12" s="22"/>
      <c r="C12" s="4"/>
      <c r="D12" s="3"/>
      <c r="E12" s="3"/>
      <c r="F12" s="3"/>
      <c r="G12" s="4"/>
      <c r="H12" s="18" t="s">
        <v>68</v>
      </c>
      <c r="I12" s="97" t="s">
        <v>8</v>
      </c>
      <c r="J12" s="97" t="s">
        <v>24</v>
      </c>
      <c r="K12" s="97" t="s">
        <v>23</v>
      </c>
      <c r="L12" s="2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13.5" thickBot="1" x14ac:dyDescent="0.25">
      <c r="A13" s="3"/>
      <c r="B13" s="22"/>
      <c r="C13" s="18" t="s">
        <v>53</v>
      </c>
      <c r="D13" s="20"/>
      <c r="E13" s="20"/>
      <c r="F13" s="21"/>
      <c r="G13" s="4"/>
      <c r="H13" s="27" t="s">
        <v>58</v>
      </c>
      <c r="I13" s="99" t="s">
        <v>60</v>
      </c>
      <c r="J13" s="99" t="s">
        <v>63</v>
      </c>
      <c r="K13" s="101"/>
      <c r="L13" s="2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ht="13.5" thickBot="1" x14ac:dyDescent="0.25">
      <c r="A14" s="3"/>
      <c r="B14" s="22"/>
      <c r="C14" s="97" t="s">
        <v>56</v>
      </c>
      <c r="D14" s="100" t="s">
        <v>24</v>
      </c>
      <c r="E14" s="19" t="s">
        <v>23</v>
      </c>
      <c r="F14" s="21"/>
      <c r="G14" s="4"/>
      <c r="H14" s="4"/>
      <c r="I14" s="4"/>
      <c r="J14" s="4"/>
      <c r="K14" s="4"/>
      <c r="L14" s="2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13.5" thickBot="1" x14ac:dyDescent="0.25">
      <c r="A15" s="3"/>
      <c r="B15" s="22"/>
      <c r="C15" s="98" t="s">
        <v>57</v>
      </c>
      <c r="D15" s="98" t="s">
        <v>33</v>
      </c>
      <c r="E15" s="24">
        <v>9203</v>
      </c>
      <c r="F15" s="23"/>
      <c r="G15" s="4"/>
      <c r="H15" s="3"/>
      <c r="I15" s="4"/>
      <c r="J15" s="4"/>
      <c r="K15" s="4"/>
      <c r="L15" s="2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13.5" thickBot="1" x14ac:dyDescent="0.25">
      <c r="A16" s="3"/>
      <c r="B16" s="22"/>
      <c r="C16" s="99" t="s">
        <v>59</v>
      </c>
      <c r="D16" s="99" t="s">
        <v>22</v>
      </c>
      <c r="E16" s="29" t="s">
        <v>74</v>
      </c>
      <c r="F16" s="30"/>
      <c r="G16" s="4"/>
      <c r="H16" s="32" t="s">
        <v>55</v>
      </c>
      <c r="I16" s="16" cm="1">
        <f t="array" ref="I16">(IFERROR(
(
(E10*INDEX('Look up'!L37:L39,MATCH(1,((Cal!J13)='Look up'!A37:A39)*((Cal!K13)='Look up'!B37:B39),0)))
*
INDEX('Look up'!J21:J34,MATCH(1,((Cal!I10)='Look up'!A21:A34)*((Cal!J10)='Look up'!B21:B34),0))
)
+
(
INDEX('Look up'!G21:G34,MATCH(1,((Cal!I10)='Look up'!A21:A34)*((Cal!J10)='Look up'!B21:B34),0))
)
+
INDEX('Look up'!D21:D34,MATCH(1,((Cal!I10)='Look up'!A21:A34)*((Cal!J10)='Look up'!B21:B34),0)),
"Error"))/(SQRT(3))</f>
        <v>1.5543470135144642E-2</v>
      </c>
      <c r="J16" s="17"/>
      <c r="K16" s="4"/>
      <c r="L16" s="2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ht="13.5" thickBot="1" x14ac:dyDescent="0.25">
      <c r="A17" s="3"/>
      <c r="B17" s="96"/>
      <c r="C17" s="4"/>
      <c r="D17" s="3"/>
      <c r="E17" s="3"/>
      <c r="F17" s="4"/>
      <c r="G17" s="4"/>
      <c r="H17" s="22" t="s">
        <v>55</v>
      </c>
      <c r="I17" s="4" cm="1">
        <f t="array" ref="I17">(IFERROR(
(
(I16/INDEX('Look up'!L37:L39,MATCH(1,((Cal!J13)='Look up'!A37:A39)*((Cal!K13)='Look up'!B37:B39),0)))
),
"Error"))</f>
        <v>0.29788175805183292</v>
      </c>
      <c r="J17" s="23" t="s">
        <v>9</v>
      </c>
      <c r="K17" s="4"/>
      <c r="L17" s="2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ht="13.5" thickBot="1" x14ac:dyDescent="0.25">
      <c r="A18" s="3"/>
      <c r="B18" s="22"/>
      <c r="C18" s="32" t="s">
        <v>55</v>
      </c>
      <c r="D18" s="16" cm="1">
        <f t="array" ref="D18">(IFERROR(
(
(E9*INDEX('Look up'!L9:L18,MATCH(1,((Cal!D16)='Look up'!A9:A18)*((Cal!E16)='Look up'!B9:B18),0)))
*
INDEX('Look up'!J21:J34,MATCH(1,((Cal!D15)='Look up'!A21:A34)*((Cal!E15)='Look up'!B21:B34),0))
)
+
(
INDEX('Look up'!L21:L34,MATCH(1,((Cal!D15)='Look up'!A21:A34)*((Cal!E15)='Look up'!B21:B34),0))
*
INDEX('Look up'!G21:G34,MATCH(1,((Cal!D15)='Look up'!A21:A34)*((Cal!E15)='Look up'!B21:B34),0))
)
+
INDEX('Look up'!D21:D34,MATCH(1,((Cal!D15)='Look up'!A21:A34)*((Cal!E15)='Look up'!B21:B34),0)),
"Error"))/(SQRT(3))</f>
        <v>1.1682112043565404E-2</v>
      </c>
      <c r="E18" s="17"/>
      <c r="F18" s="4"/>
      <c r="G18" s="4"/>
      <c r="H18" s="27" t="s">
        <v>69</v>
      </c>
      <c r="I18" s="28" cm="1">
        <f t="array" ref="I18">(IFERROR(
(
((INDEX('Look up'!J37:J39,MATCH(1,((Cal!J13)='Look up'!A37:A39)*((Cal!K13)='Look up'!B37:B39),0)))/SQRT(3))
),
"Error"))</f>
        <v>0.28867513459481292</v>
      </c>
      <c r="J18" s="30" t="s">
        <v>9</v>
      </c>
      <c r="K18" s="4"/>
      <c r="L18" s="2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ht="13.5" thickBot="1" x14ac:dyDescent="0.25">
      <c r="A19" s="3"/>
      <c r="B19" s="22"/>
      <c r="C19" s="22" t="s">
        <v>66</v>
      </c>
      <c r="D19" s="4" cm="1">
        <f t="array" ref="D19">(IFERROR(
(
(
SQRT(
(D18^2)
+
((
(((INDEX('Look up'!G9:G18,MATCH(1,((Cal!D16)='Look up'!A9:A18)*((Cal!E16)='Look up'!B9:B18),0)))
*
(INDEX('Look up'!E9:E18,MATCH(1,((Cal!D16)='Look up'!A9:A18)*((Cal!E16)='Look up'!B9:B18),0)))
))/SQRT(3)
)^2)
+
(
(
(((INDEX('Look up'!I9:I18,MATCH(1,((Cal!D16)='Look up'!A9:A18)*((Cal!E16)='Look up'!B9:B18),0)))
*
(INDEX('Look up'!E9:E18,MATCH(1,((Cal!D16)='Look up'!A9:A18)*((Cal!E16)='Look up'!B9:B18),0)))
))/SQRT(3)
)^2
)
)
)/(INDEX('Look up'!L9:L18,MATCH(1,((Cal!D16)='Look up'!A9:A18)*((Cal!E16)='Look up'!B9:B18),0)))
),
"Error"))</f>
        <v>1.319036437368974</v>
      </c>
      <c r="E19" s="23"/>
      <c r="F19" s="4"/>
      <c r="G19" s="4"/>
      <c r="H19" s="18" t="s">
        <v>70</v>
      </c>
      <c r="I19" s="20">
        <f>SQRT(I17^2+I18^2)</f>
        <v>0.41480944433966793</v>
      </c>
      <c r="J19" s="21" t="s">
        <v>9</v>
      </c>
      <c r="K19" s="4"/>
      <c r="L19" s="2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 ht="13.5" thickBot="1" x14ac:dyDescent="0.25">
      <c r="A20" s="4"/>
      <c r="B20" s="22"/>
      <c r="C20" s="18" t="s">
        <v>67</v>
      </c>
      <c r="D20" s="20">
        <f>D19*2</f>
        <v>2.638072874737948</v>
      </c>
      <c r="E20" s="21" t="s">
        <v>10</v>
      </c>
      <c r="F20" s="3"/>
      <c r="G20" s="3"/>
      <c r="H20" s="27" t="s">
        <v>67</v>
      </c>
      <c r="I20" s="28">
        <f>I19*2</f>
        <v>0.82961888867933586</v>
      </c>
      <c r="J20" s="30" t="s">
        <v>9</v>
      </c>
      <c r="K20" s="4"/>
      <c r="L20" s="9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ht="13.5" thickBot="1" x14ac:dyDescent="0.25">
      <c r="A21" s="4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30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2">
      <c r="A22" s="4"/>
      <c r="B22" s="3"/>
      <c r="C22" s="4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x14ac:dyDescent="0.2">
      <c r="A23" s="4"/>
      <c r="B23" s="3"/>
      <c r="C23" s="105" t="s">
        <v>76</v>
      </c>
      <c r="D23" s="3"/>
      <c r="E23" s="3"/>
      <c r="F23" s="3"/>
      <c r="G23" s="3"/>
      <c r="H23" s="3"/>
      <c r="I23" s="4"/>
      <c r="J23" s="4"/>
      <c r="K23" s="4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2">
      <c r="A24" s="4"/>
      <c r="B24" s="3"/>
      <c r="C24" s="4"/>
      <c r="D24" s="3"/>
      <c r="E24" s="3"/>
      <c r="F24" s="3"/>
      <c r="G24" s="3"/>
      <c r="H24" s="3"/>
      <c r="I24" s="4"/>
      <c r="J24" s="4"/>
      <c r="K24" s="4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x14ac:dyDescent="0.2">
      <c r="A25" s="4"/>
      <c r="B25" s="3"/>
      <c r="C25" s="4"/>
      <c r="D25" s="3"/>
      <c r="E25" s="3"/>
      <c r="F25" s="3"/>
      <c r="G25" s="3"/>
      <c r="H25" s="3"/>
      <c r="I25" s="4"/>
      <c r="J25" s="4"/>
      <c r="K25" s="4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x14ac:dyDescent="0.2">
      <c r="A26" s="4"/>
      <c r="B26" s="3"/>
      <c r="C26" s="4"/>
      <c r="D26" s="3"/>
      <c r="E26" s="3"/>
      <c r="F26" s="3"/>
      <c r="G26" s="3"/>
      <c r="H26" s="3"/>
      <c r="I26" s="4"/>
      <c r="J26" s="4"/>
      <c r="K26" s="4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x14ac:dyDescent="0.2">
      <c r="A27" s="4"/>
      <c r="B27" s="3"/>
      <c r="C27" s="4"/>
      <c r="D27" s="3"/>
      <c r="E27" s="3"/>
      <c r="F27" s="3"/>
      <c r="G27" s="3"/>
      <c r="H27" s="3"/>
      <c r="I27" s="4"/>
      <c r="J27" s="4"/>
      <c r="K27" s="4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x14ac:dyDescent="0.2">
      <c r="A28" s="4"/>
      <c r="B28" s="3"/>
      <c r="C28" s="4"/>
      <c r="D28" s="3"/>
      <c r="E28" s="3"/>
      <c r="F28" s="3"/>
      <c r="G28" s="3"/>
      <c r="H28" s="3"/>
      <c r="I28" s="4"/>
      <c r="J28" s="4"/>
      <c r="K28" s="4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x14ac:dyDescent="0.2">
      <c r="A29" s="4"/>
      <c r="B29" s="3"/>
      <c r="C29" s="4"/>
      <c r="D29" s="3"/>
      <c r="E29" s="3"/>
      <c r="F29" s="3"/>
      <c r="G29" s="3"/>
      <c r="H29" s="3"/>
      <c r="I29" s="4"/>
      <c r="J29" s="4"/>
      <c r="K29" s="4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x14ac:dyDescent="0.2">
      <c r="A30" s="4"/>
      <c r="B30" s="3"/>
      <c r="C30" s="4"/>
      <c r="D30" s="3"/>
      <c r="E30" s="3"/>
      <c r="F30" s="3"/>
      <c r="G30" s="3"/>
      <c r="H30" s="3"/>
      <c r="I30" s="4"/>
      <c r="J30" s="4"/>
      <c r="K30" s="4"/>
      <c r="L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x14ac:dyDescent="0.2">
      <c r="A31" s="4"/>
      <c r="B31" s="3"/>
      <c r="C31" s="4"/>
      <c r="D31" s="3"/>
      <c r="E31" s="3"/>
      <c r="F31" s="3"/>
      <c r="G31" s="3"/>
      <c r="H31" s="3"/>
      <c r="I31" s="4"/>
      <c r="J31" s="4"/>
      <c r="K31" s="4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x14ac:dyDescent="0.2">
      <c r="A32" s="4"/>
      <c r="B32" s="3"/>
      <c r="C32" s="4"/>
      <c r="D32" s="3"/>
      <c r="E32" s="3"/>
      <c r="F32" s="3"/>
      <c r="G32" s="3"/>
      <c r="H32" s="3"/>
      <c r="I32" s="4"/>
      <c r="J32" s="4"/>
      <c r="K32" s="4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x14ac:dyDescent="0.2">
      <c r="A33" s="4"/>
      <c r="B33" s="3"/>
      <c r="C33" s="4"/>
      <c r="D33" s="3"/>
      <c r="E33" s="3"/>
      <c r="F33" s="3"/>
      <c r="G33" s="3"/>
      <c r="H33" s="3"/>
      <c r="I33" s="4"/>
      <c r="J33" s="4"/>
      <c r="K33" s="4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 x14ac:dyDescent="0.2">
      <c r="A34" s="4"/>
      <c r="B34" s="3"/>
      <c r="C34" s="4"/>
      <c r="D34" s="3"/>
      <c r="E34" s="3"/>
      <c r="F34" s="3"/>
      <c r="G34" s="3"/>
      <c r="H34" s="3"/>
      <c r="I34" s="4"/>
      <c r="J34" s="4"/>
      <c r="K34" s="4"/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x14ac:dyDescent="0.2">
      <c r="A35" s="4"/>
      <c r="B35" s="3"/>
      <c r="C35" s="4"/>
      <c r="D35" s="3"/>
      <c r="E35" s="3"/>
      <c r="F35" s="3"/>
      <c r="G35" s="3"/>
      <c r="H35" s="3"/>
      <c r="I35" s="4"/>
      <c r="J35" s="4"/>
      <c r="K35" s="4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x14ac:dyDescent="0.2">
      <c r="A36" s="4"/>
      <c r="B36" s="3"/>
      <c r="C36" s="4"/>
      <c r="D36" s="3"/>
      <c r="E36" s="3"/>
      <c r="F36" s="3"/>
      <c r="G36" s="3"/>
      <c r="H36" s="3"/>
      <c r="I36" s="4"/>
      <c r="J36" s="4"/>
      <c r="K36" s="4"/>
      <c r="L36" s="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x14ac:dyDescent="0.2">
      <c r="A37" s="4"/>
      <c r="B37" s="3"/>
      <c r="C37" s="4"/>
      <c r="D37" s="3"/>
      <c r="E37" s="3"/>
      <c r="F37" s="3"/>
      <c r="G37" s="3"/>
      <c r="H37" s="3"/>
      <c r="I37" s="4"/>
      <c r="J37" s="4"/>
      <c r="K37" s="4"/>
      <c r="L37" s="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x14ac:dyDescent="0.2">
      <c r="A38" s="4"/>
      <c r="B38" s="3"/>
      <c r="C38" s="4"/>
      <c r="D38" s="3"/>
      <c r="E38" s="3"/>
      <c r="F38" s="3"/>
      <c r="G38" s="3"/>
      <c r="H38" s="3"/>
      <c r="I38" s="4"/>
      <c r="J38" s="4"/>
      <c r="K38" s="4"/>
      <c r="L38" s="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 x14ac:dyDescent="0.2">
      <c r="A39" s="4"/>
      <c r="B39" s="3"/>
      <c r="C39" s="4"/>
      <c r="D39" s="3"/>
      <c r="E39" s="3"/>
      <c r="F39" s="3"/>
      <c r="G39" s="3"/>
      <c r="H39" s="3"/>
      <c r="I39" s="4"/>
      <c r="J39" s="4"/>
      <c r="K39" s="4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x14ac:dyDescent="0.2">
      <c r="A40" s="4"/>
      <c r="B40" s="3"/>
      <c r="C40" s="4"/>
      <c r="D40" s="3"/>
      <c r="E40" s="3"/>
      <c r="F40" s="3"/>
      <c r="G40" s="3"/>
      <c r="H40" s="3"/>
      <c r="I40" s="4"/>
      <c r="J40" s="4"/>
      <c r="K40" s="4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 x14ac:dyDescent="0.2">
      <c r="A41" s="4"/>
      <c r="B41" s="3"/>
      <c r="C41" s="4"/>
      <c r="D41" s="3"/>
      <c r="E41" s="3"/>
      <c r="F41" s="3"/>
      <c r="G41" s="3"/>
      <c r="H41" s="3"/>
      <c r="I41" s="4"/>
      <c r="J41" s="4"/>
      <c r="K41" s="4"/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15.6" customHeight="1" x14ac:dyDescent="0.2">
      <c r="A42" s="4"/>
      <c r="B42" s="3"/>
      <c r="C42" s="4"/>
      <c r="D42" s="3"/>
      <c r="E42" s="3"/>
      <c r="F42" s="3"/>
      <c r="G42" s="3"/>
      <c r="H42" s="3"/>
      <c r="I42" s="4"/>
      <c r="J42" s="4"/>
      <c r="K42" s="4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x14ac:dyDescent="0.2">
      <c r="A43" s="4"/>
      <c r="B43" s="3"/>
      <c r="C43" s="4"/>
      <c r="D43" s="3"/>
      <c r="E43" s="3"/>
      <c r="F43" s="3"/>
      <c r="G43" s="3"/>
      <c r="H43" s="3"/>
      <c r="I43" s="4"/>
      <c r="J43" s="4"/>
      <c r="K43" s="4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s="1" customFormat="1" x14ac:dyDescent="0.2">
      <c r="A77" s="6"/>
      <c r="B77" s="3"/>
      <c r="C77" s="4"/>
      <c r="D77" s="3"/>
      <c r="E77" s="3"/>
      <c r="F77" s="3"/>
      <c r="G77" s="3"/>
      <c r="H77" s="3"/>
      <c r="I77" s="4"/>
      <c r="J77" s="4"/>
      <c r="K77" s="4"/>
      <c r="L77" s="3"/>
      <c r="M77" s="4"/>
      <c r="N77" s="3"/>
      <c r="O77" s="3"/>
      <c r="P77" s="4"/>
      <c r="Q77" s="4"/>
      <c r="R77" s="4"/>
      <c r="S77" s="3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s="1" customForma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  <c r="Q78" s="4"/>
      <c r="R78" s="4"/>
      <c r="S78" s="3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s="1" customForma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4"/>
      <c r="R79" s="4"/>
      <c r="S79" s="3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" customForma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  <c r="Q80" s="4"/>
      <c r="R80" s="4"/>
      <c r="S80" s="3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s="1" customForma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  <c r="Q81" s="4"/>
      <c r="R81" s="4"/>
      <c r="S81" s="3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s="1" customFormat="1" x14ac:dyDescent="0.2">
      <c r="A82" s="6"/>
      <c r="B82" s="3"/>
      <c r="C82" s="4"/>
      <c r="D82" s="3"/>
      <c r="E82" s="3"/>
      <c r="F82" s="3"/>
      <c r="G82" s="3"/>
      <c r="H82" s="3"/>
      <c r="I82" s="4"/>
      <c r="J82" s="4"/>
      <c r="K82" s="4"/>
      <c r="L82" s="3"/>
      <c r="M82" s="4"/>
      <c r="N82" s="3"/>
      <c r="O82" s="3"/>
      <c r="P82" s="4"/>
      <c r="Q82" s="4"/>
      <c r="R82" s="4"/>
      <c r="S82" s="3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s="1" customFormat="1" x14ac:dyDescent="0.2">
      <c r="A83" s="3"/>
      <c r="B83" s="3"/>
      <c r="C83" s="4"/>
      <c r="D83" s="3"/>
      <c r="E83" s="3"/>
      <c r="F83" s="3"/>
      <c r="G83" s="3"/>
      <c r="H83" s="3"/>
      <c r="I83" s="4"/>
      <c r="J83" s="4"/>
      <c r="K83" s="4"/>
      <c r="L83" s="3"/>
      <c r="M83" s="4"/>
      <c r="N83" s="3"/>
      <c r="O83" s="3"/>
      <c r="P83" s="4"/>
      <c r="Q83" s="4"/>
      <c r="R83" s="4"/>
      <c r="S83" s="3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s="1" customFormat="1" x14ac:dyDescent="0.2">
      <c r="A84" s="6"/>
      <c r="B84" s="6"/>
      <c r="C84" s="6"/>
      <c r="D84" s="6"/>
      <c r="E84" s="3"/>
      <c r="F84" s="3"/>
      <c r="G84" s="3"/>
      <c r="H84" s="3"/>
      <c r="I84" s="4"/>
      <c r="J84" s="4"/>
      <c r="K84" s="4"/>
      <c r="L84" s="3"/>
      <c r="M84" s="4"/>
      <c r="N84" s="3"/>
      <c r="O84" s="3"/>
      <c r="P84" s="4"/>
      <c r="Q84" s="4"/>
      <c r="R84" s="4"/>
      <c r="S84" s="3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s="1" customFormat="1" x14ac:dyDescent="0.2">
      <c r="A85" s="6"/>
      <c r="B85" s="3"/>
      <c r="C85" s="3"/>
      <c r="D85" s="3"/>
      <c r="E85" s="3"/>
      <c r="F85" s="3"/>
      <c r="G85" s="3"/>
      <c r="H85" s="3"/>
      <c r="I85" s="4"/>
      <c r="J85" s="4"/>
      <c r="K85" s="4"/>
      <c r="L85" s="3"/>
      <c r="M85" s="4"/>
      <c r="N85" s="3"/>
      <c r="O85" s="3"/>
      <c r="P85" s="4"/>
      <c r="Q85" s="4"/>
      <c r="R85" s="4"/>
      <c r="S85" s="3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s="1" customFormat="1" x14ac:dyDescent="0.2">
      <c r="A86" s="115"/>
      <c r="B86" s="115"/>
      <c r="C86" s="115"/>
      <c r="D86" s="115"/>
      <c r="E86" s="3"/>
      <c r="F86" s="3"/>
      <c r="G86" s="3"/>
      <c r="H86" s="3"/>
      <c r="I86" s="4"/>
      <c r="J86" s="4"/>
      <c r="K86" s="4"/>
      <c r="L86" s="3"/>
      <c r="M86" s="4"/>
      <c r="N86" s="3"/>
      <c r="O86" s="3"/>
      <c r="P86" s="4"/>
      <c r="Q86" s="4"/>
      <c r="R86" s="4"/>
      <c r="S86" s="3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s="1" customFormat="1" x14ac:dyDescent="0.2">
      <c r="A87" s="115"/>
      <c r="B87" s="115"/>
      <c r="C87" s="115"/>
      <c r="D87" s="3"/>
      <c r="E87" s="3"/>
      <c r="F87" s="3"/>
      <c r="G87" s="3"/>
      <c r="H87" s="3"/>
      <c r="I87" s="4"/>
      <c r="J87" s="4"/>
      <c r="K87" s="4"/>
      <c r="L87" s="3"/>
      <c r="M87" s="4"/>
      <c r="N87" s="3"/>
      <c r="O87" s="3"/>
      <c r="P87" s="4"/>
      <c r="Q87" s="4"/>
      <c r="R87" s="4"/>
      <c r="S87" s="3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s="1" customFormat="1" x14ac:dyDescent="0.2">
      <c r="A88" s="6"/>
      <c r="B88" s="3"/>
      <c r="C88" s="4"/>
      <c r="D88" s="3"/>
      <c r="E88" s="3"/>
      <c r="F88" s="3"/>
      <c r="G88" s="3"/>
      <c r="H88" s="3"/>
      <c r="I88" s="4"/>
      <c r="J88" s="4"/>
      <c r="K88" s="4"/>
      <c r="L88" s="3"/>
      <c r="M88" s="4"/>
      <c r="N88" s="3"/>
      <c r="O88" s="3"/>
      <c r="P88" s="4"/>
      <c r="Q88" s="4"/>
      <c r="R88" s="4"/>
      <c r="S88" s="3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s="1" customForma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  <c r="Q89" s="4"/>
      <c r="R89" s="4"/>
      <c r="S89" s="3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" customForma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  <c r="Q90" s="4"/>
      <c r="R90" s="4"/>
      <c r="S90" s="3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s="1" customForma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  <c r="Q91" s="4"/>
      <c r="R91" s="4"/>
      <c r="S91" s="3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" customForma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  <c r="Q92" s="4"/>
      <c r="R92" s="4"/>
      <c r="S92" s="3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s="1" customForma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  <c r="Q93" s="4"/>
      <c r="R93" s="4"/>
      <c r="S93" s="3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s="1" customForma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  <c r="Q94" s="4"/>
      <c r="R94" s="4"/>
      <c r="S94" s="3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s="1" customForma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  <c r="Q95" s="4"/>
      <c r="R95" s="4"/>
      <c r="S95" s="3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s="1" customForma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  <c r="Q96" s="4"/>
      <c r="R96" s="4"/>
      <c r="S96" s="3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s="1" customForma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  <c r="Q97" s="4"/>
      <c r="R97" s="4"/>
      <c r="S97" s="3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s="1" customForma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  <c r="Q98" s="4"/>
      <c r="R98" s="4"/>
      <c r="S98" s="3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 s="1" customForma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4"/>
      <c r="R99" s="4"/>
      <c r="S99" s="3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 s="1" customForma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4"/>
      <c r="R100" s="4"/>
      <c r="S100" s="3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s="1" customForma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  <c r="Q101" s="4"/>
      <c r="R101" s="4"/>
      <c r="S101" s="3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 s="1" customForma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  <c r="Q102" s="4"/>
      <c r="R102" s="4"/>
      <c r="S102" s="3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 s="1" customForma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4"/>
      <c r="R103" s="4"/>
      <c r="S103" s="3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 s="1" customForma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4"/>
      <c r="R104" s="4"/>
      <c r="S104" s="3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s="1" customForma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4"/>
      <c r="R105" s="4"/>
      <c r="S105" s="3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s="1" customForma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  <c r="Q106" s="4"/>
      <c r="R106" s="4"/>
      <c r="S106" s="3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s="1" customForma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4"/>
      <c r="R107" s="4"/>
      <c r="S107" s="3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s="1" customForma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  <c r="Q108" s="4"/>
      <c r="R108" s="4"/>
      <c r="S108" s="3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s="1" customForma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s="1" customForma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s="1" customForma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x14ac:dyDescent="0.2">
      <c r="A112" s="3"/>
      <c r="B112" s="3"/>
      <c r="C112" s="4"/>
      <c r="D112" s="3"/>
      <c r="E112" s="3"/>
      <c r="F112" s="3"/>
      <c r="G112" s="3"/>
      <c r="H112" s="3"/>
      <c r="I112" s="4"/>
      <c r="J112" s="4"/>
      <c r="K112" s="4"/>
      <c r="L112" s="3"/>
      <c r="M112" s="4"/>
      <c r="N112" s="3"/>
      <c r="O112" s="3"/>
      <c r="P112" s="3"/>
      <c r="Q112" s="3"/>
      <c r="R112" s="3"/>
      <c r="S112" s="3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s="1" customForma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s="1" customForma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s="1" customForma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x14ac:dyDescent="0.2">
      <c r="A116" s="3"/>
      <c r="B116" s="3"/>
      <c r="C116" s="4"/>
      <c r="D116" s="3"/>
      <c r="E116" s="3"/>
      <c r="F116" s="3"/>
      <c r="G116" s="3"/>
      <c r="H116" s="3"/>
      <c r="I116" s="4"/>
      <c r="J116" s="4"/>
      <c r="K116" s="4"/>
      <c r="L116" s="3"/>
      <c r="M116" s="4"/>
      <c r="N116" s="3"/>
      <c r="O116" s="3"/>
      <c r="P116" s="3"/>
      <c r="Q116" s="3"/>
      <c r="R116" s="3"/>
      <c r="S116" s="3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x14ac:dyDescent="0.2">
      <c r="A117" s="3"/>
      <c r="B117" s="3"/>
      <c r="C117" s="4"/>
      <c r="D117" s="3"/>
      <c r="E117" s="3"/>
      <c r="F117" s="3"/>
      <c r="G117" s="3"/>
      <c r="H117" s="3"/>
      <c r="I117" s="4"/>
      <c r="J117" s="4"/>
      <c r="K117" s="4"/>
      <c r="L117" s="3"/>
      <c r="M117" s="4"/>
      <c r="N117" s="3"/>
      <c r="O117" s="3"/>
      <c r="P117" s="3"/>
      <c r="Q117" s="3"/>
      <c r="R117" s="3"/>
      <c r="S117" s="3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x14ac:dyDescent="0.2">
      <c r="A118" s="3"/>
      <c r="B118" s="3"/>
      <c r="C118" s="4"/>
      <c r="D118" s="3"/>
      <c r="E118" s="3"/>
      <c r="F118" s="3"/>
      <c r="G118" s="3"/>
      <c r="H118" s="3"/>
      <c r="I118" s="4"/>
      <c r="J118" s="4"/>
      <c r="K118" s="4"/>
      <c r="L118" s="3"/>
      <c r="M118" s="4"/>
      <c r="N118" s="3"/>
      <c r="O118" s="3"/>
      <c r="P118" s="3"/>
      <c r="Q118" s="3"/>
      <c r="R118" s="3"/>
      <c r="S118" s="3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x14ac:dyDescent="0.2">
      <c r="A119" s="3"/>
      <c r="B119" s="3"/>
      <c r="C119" s="4"/>
      <c r="D119" s="3"/>
      <c r="E119" s="3"/>
      <c r="F119" s="3"/>
      <c r="G119" s="3"/>
      <c r="H119" s="3"/>
      <c r="I119" s="4"/>
      <c r="J119" s="4"/>
      <c r="K119" s="4"/>
      <c r="L119" s="3"/>
      <c r="M119" s="4"/>
      <c r="N119" s="3"/>
      <c r="O119" s="3"/>
      <c r="P119" s="3"/>
      <c r="Q119" s="3"/>
      <c r="R119" s="3"/>
      <c r="S119" s="3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x14ac:dyDescent="0.2">
      <c r="A120" s="3"/>
      <c r="B120" s="3"/>
      <c r="C120" s="4"/>
      <c r="D120" s="3"/>
      <c r="E120" s="3"/>
      <c r="F120" s="3"/>
      <c r="G120" s="3"/>
      <c r="H120" s="3"/>
      <c r="I120" s="4"/>
      <c r="J120" s="4"/>
      <c r="K120" s="4"/>
      <c r="L120" s="3"/>
      <c r="M120" s="4"/>
      <c r="N120" s="3"/>
      <c r="O120" s="3"/>
      <c r="P120" s="3"/>
      <c r="Q120" s="3"/>
      <c r="R120" s="3"/>
      <c r="S120" s="3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x14ac:dyDescent="0.2">
      <c r="A121" s="3"/>
      <c r="B121" s="3"/>
      <c r="C121" s="4"/>
      <c r="D121" s="3"/>
      <c r="E121" s="3"/>
      <c r="F121" s="3"/>
      <c r="G121" s="3"/>
      <c r="H121" s="3"/>
      <c r="I121" s="4"/>
      <c r="J121" s="4"/>
      <c r="K121" s="4"/>
      <c r="L121" s="3"/>
      <c r="M121" s="4"/>
      <c r="N121" s="3"/>
      <c r="O121" s="3"/>
      <c r="P121" s="3"/>
      <c r="Q121" s="3"/>
      <c r="R121" s="3"/>
      <c r="S121" s="3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x14ac:dyDescent="0.2">
      <c r="A122" s="3"/>
      <c r="B122" s="3"/>
      <c r="C122" s="4"/>
      <c r="D122" s="3"/>
      <c r="E122" s="3"/>
      <c r="F122" s="3"/>
      <c r="G122" s="3"/>
      <c r="H122" s="3"/>
      <c r="I122" s="4"/>
      <c r="J122" s="4"/>
      <c r="K122" s="4"/>
      <c r="L122" s="3"/>
      <c r="M122" s="4"/>
      <c r="N122" s="3"/>
      <c r="O122" s="3"/>
      <c r="P122" s="3"/>
      <c r="Q122" s="3"/>
      <c r="R122" s="3"/>
      <c r="S122" s="3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x14ac:dyDescent="0.2">
      <c r="A123" s="3"/>
      <c r="B123" s="3"/>
      <c r="C123" s="4"/>
      <c r="D123" s="3"/>
      <c r="E123" s="3"/>
      <c r="F123" s="3"/>
      <c r="G123" s="3"/>
      <c r="H123" s="3"/>
      <c r="I123" s="4"/>
      <c r="J123" s="4"/>
      <c r="K123" s="4"/>
      <c r="L123" s="3"/>
      <c r="M123" s="4"/>
      <c r="N123" s="3"/>
      <c r="O123" s="3"/>
      <c r="P123" s="3"/>
      <c r="Q123" s="3"/>
      <c r="R123" s="3"/>
      <c r="S123" s="3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x14ac:dyDescent="0.2">
      <c r="A124" s="3"/>
      <c r="B124" s="3"/>
      <c r="C124" s="4"/>
      <c r="D124" s="3"/>
      <c r="E124" s="3"/>
      <c r="F124" s="3"/>
      <c r="G124" s="3"/>
      <c r="H124" s="3"/>
      <c r="I124" s="4"/>
      <c r="J124" s="4"/>
      <c r="K124" s="4"/>
      <c r="L124" s="3"/>
      <c r="M124" s="4"/>
      <c r="N124" s="3"/>
      <c r="O124" s="3"/>
      <c r="P124" s="3"/>
      <c r="Q124" s="3"/>
      <c r="R124" s="3"/>
      <c r="S124" s="3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x14ac:dyDescent="0.2">
      <c r="A125" s="3"/>
      <c r="B125" s="3"/>
      <c r="C125" s="4"/>
      <c r="D125" s="3"/>
      <c r="E125" s="3"/>
      <c r="F125" s="3"/>
      <c r="G125" s="3"/>
      <c r="H125" s="3"/>
      <c r="I125" s="4"/>
      <c r="J125" s="4"/>
      <c r="K125" s="4"/>
      <c r="L125" s="3"/>
      <c r="M125" s="4"/>
      <c r="N125" s="3"/>
      <c r="O125" s="3"/>
      <c r="P125" s="3"/>
      <c r="Q125" s="3"/>
      <c r="R125" s="3"/>
      <c r="S125" s="3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x14ac:dyDescent="0.2">
      <c r="A126" s="3"/>
      <c r="B126" s="3"/>
      <c r="C126" s="4"/>
      <c r="D126" s="3"/>
      <c r="E126" s="3"/>
      <c r="F126" s="3"/>
      <c r="G126" s="3"/>
      <c r="H126" s="3"/>
      <c r="I126" s="4"/>
      <c r="J126" s="4"/>
      <c r="K126" s="4"/>
      <c r="L126" s="3"/>
      <c r="M126" s="4"/>
      <c r="N126" s="3"/>
      <c r="O126" s="3"/>
      <c r="P126" s="3"/>
      <c r="Q126" s="3"/>
      <c r="R126" s="3"/>
      <c r="S126" s="3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x14ac:dyDescent="0.2">
      <c r="A127" s="3"/>
      <c r="B127" s="3"/>
      <c r="C127" s="4"/>
      <c r="D127" s="3"/>
      <c r="E127" s="3"/>
      <c r="F127" s="3"/>
      <c r="G127" s="3"/>
      <c r="H127" s="3"/>
      <c r="I127" s="4"/>
      <c r="J127" s="4"/>
      <c r="K127" s="4"/>
      <c r="L127" s="3"/>
      <c r="M127" s="4"/>
      <c r="N127" s="3"/>
      <c r="O127" s="3"/>
      <c r="P127" s="3"/>
      <c r="Q127" s="3"/>
      <c r="R127" s="3"/>
      <c r="S127" s="3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x14ac:dyDescent="0.2">
      <c r="A128" s="3"/>
      <c r="B128" s="3"/>
      <c r="C128" s="4"/>
      <c r="D128" s="3"/>
      <c r="E128" s="3"/>
      <c r="F128" s="3"/>
      <c r="G128" s="3"/>
      <c r="H128" s="3"/>
      <c r="I128" s="4"/>
      <c r="J128" s="4"/>
      <c r="K128" s="4"/>
      <c r="L128" s="3"/>
      <c r="M128" s="4"/>
      <c r="N128" s="3"/>
      <c r="O128" s="3"/>
      <c r="P128" s="3"/>
      <c r="Q128" s="3"/>
      <c r="R128" s="3"/>
      <c r="S128" s="3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x14ac:dyDescent="0.2">
      <c r="A129" s="3"/>
      <c r="B129" s="3"/>
      <c r="C129" s="4"/>
      <c r="D129" s="3"/>
      <c r="E129" s="3"/>
      <c r="F129" s="3"/>
      <c r="G129" s="3"/>
      <c r="H129" s="3"/>
      <c r="I129" s="4"/>
      <c r="J129" s="4"/>
      <c r="K129" s="4"/>
      <c r="L129" s="3"/>
      <c r="M129" s="4"/>
      <c r="N129" s="3"/>
      <c r="O129" s="3"/>
      <c r="P129" s="3"/>
      <c r="Q129" s="3"/>
      <c r="R129" s="3"/>
      <c r="S129" s="3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x14ac:dyDescent="0.2">
      <c r="A130" s="3"/>
      <c r="B130" s="3"/>
      <c r="C130" s="4"/>
      <c r="D130" s="3"/>
      <c r="E130" s="3"/>
      <c r="F130" s="3"/>
      <c r="G130" s="3"/>
      <c r="H130" s="3"/>
      <c r="I130" s="4"/>
      <c r="J130" s="4"/>
      <c r="K130" s="4"/>
      <c r="L130" s="3"/>
      <c r="M130" s="4"/>
      <c r="N130" s="3"/>
      <c r="O130" s="3"/>
      <c r="P130" s="3"/>
      <c r="Q130" s="3"/>
      <c r="R130" s="3"/>
      <c r="S130" s="3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x14ac:dyDescent="0.2">
      <c r="A131" s="3"/>
      <c r="B131" s="3"/>
      <c r="C131" s="4"/>
      <c r="D131" s="3"/>
      <c r="E131" s="3"/>
      <c r="F131" s="3"/>
      <c r="G131" s="3"/>
      <c r="H131" s="3"/>
      <c r="I131" s="4"/>
      <c r="J131" s="4"/>
      <c r="K131" s="4"/>
      <c r="L131" s="3"/>
      <c r="M131" s="4"/>
      <c r="N131" s="3"/>
      <c r="O131" s="3"/>
      <c r="P131" s="3"/>
      <c r="Q131" s="3"/>
      <c r="R131" s="3"/>
      <c r="S131" s="3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x14ac:dyDescent="0.2">
      <c r="A132" s="3"/>
      <c r="B132" s="3"/>
      <c r="C132" s="4"/>
      <c r="D132" s="3"/>
      <c r="E132" s="3"/>
      <c r="F132" s="3"/>
      <c r="G132" s="3"/>
      <c r="H132" s="3"/>
      <c r="I132" s="4"/>
      <c r="J132" s="4"/>
      <c r="K132" s="4"/>
      <c r="L132" s="3"/>
      <c r="M132" s="4"/>
      <c r="N132" s="3"/>
      <c r="O132" s="3"/>
      <c r="P132" s="3"/>
      <c r="Q132" s="3"/>
      <c r="R132" s="3"/>
      <c r="S132" s="3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x14ac:dyDescent="0.2">
      <c r="A133" s="3"/>
      <c r="B133" s="3"/>
      <c r="C133" s="4"/>
      <c r="D133" s="3"/>
      <c r="E133" s="3"/>
      <c r="F133" s="3"/>
      <c r="G133" s="3"/>
      <c r="H133" s="3"/>
      <c r="I133" s="4"/>
      <c r="J133" s="4"/>
      <c r="K133" s="4"/>
      <c r="L133" s="3"/>
      <c r="M133" s="4"/>
      <c r="N133" s="3"/>
      <c r="O133" s="3"/>
      <c r="P133" s="3"/>
      <c r="Q133" s="3"/>
      <c r="R133" s="3"/>
      <c r="S133" s="3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x14ac:dyDescent="0.2">
      <c r="A134" s="3"/>
      <c r="B134" s="3"/>
      <c r="C134" s="4"/>
      <c r="D134" s="3"/>
      <c r="E134" s="3"/>
      <c r="F134" s="3"/>
      <c r="G134" s="3"/>
      <c r="H134" s="3"/>
      <c r="I134" s="4"/>
      <c r="J134" s="4"/>
      <c r="K134" s="4"/>
      <c r="L134" s="3"/>
      <c r="M134" s="4"/>
      <c r="N134" s="3"/>
      <c r="O134" s="3"/>
      <c r="P134" s="3"/>
      <c r="Q134" s="3"/>
      <c r="R134" s="3"/>
      <c r="S134" s="3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x14ac:dyDescent="0.2">
      <c r="A135" s="3"/>
      <c r="B135" s="3"/>
      <c r="C135" s="4"/>
      <c r="D135" s="3"/>
      <c r="E135" s="3"/>
      <c r="F135" s="3"/>
      <c r="G135" s="3"/>
      <c r="H135" s="3"/>
      <c r="I135" s="4"/>
      <c r="J135" s="4"/>
      <c r="K135" s="4"/>
      <c r="L135" s="3"/>
      <c r="M135" s="4"/>
      <c r="N135" s="3"/>
      <c r="O135" s="3"/>
      <c r="P135" s="3"/>
      <c r="Q135" s="3"/>
      <c r="R135" s="3"/>
      <c r="S135" s="3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x14ac:dyDescent="0.2">
      <c r="A136" s="3"/>
      <c r="B136" s="3"/>
      <c r="C136" s="4"/>
      <c r="D136" s="3"/>
      <c r="E136" s="3"/>
      <c r="F136" s="3"/>
      <c r="G136" s="3"/>
      <c r="H136" s="3"/>
      <c r="I136" s="4"/>
      <c r="J136" s="4"/>
      <c r="K136" s="4"/>
      <c r="L136" s="3"/>
      <c r="M136" s="4"/>
      <c r="N136" s="3"/>
      <c r="O136" s="3"/>
      <c r="P136" s="3"/>
      <c r="Q136" s="3"/>
      <c r="R136" s="3"/>
      <c r="S136" s="3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x14ac:dyDescent="0.2">
      <c r="A137" s="3"/>
      <c r="B137" s="3"/>
      <c r="C137" s="4"/>
      <c r="D137" s="3"/>
      <c r="E137" s="3"/>
      <c r="F137" s="3"/>
      <c r="G137" s="3"/>
      <c r="H137" s="3"/>
      <c r="I137" s="4"/>
      <c r="J137" s="4"/>
      <c r="K137" s="4"/>
      <c r="L137" s="3"/>
      <c r="M137" s="4"/>
      <c r="N137" s="3"/>
      <c r="O137" s="3"/>
      <c r="P137" s="3"/>
      <c r="Q137" s="3"/>
      <c r="R137" s="3"/>
      <c r="S137" s="3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x14ac:dyDescent="0.2">
      <c r="A138" s="3"/>
      <c r="B138" s="3"/>
      <c r="C138" s="4"/>
      <c r="D138" s="3"/>
      <c r="E138" s="3"/>
      <c r="F138" s="3"/>
      <c r="G138" s="3"/>
      <c r="H138" s="3"/>
      <c r="I138" s="4"/>
      <c r="J138" s="4"/>
      <c r="K138" s="4"/>
      <c r="L138" s="3"/>
      <c r="M138" s="4"/>
      <c r="N138" s="3"/>
      <c r="O138" s="3"/>
      <c r="P138" s="3"/>
      <c r="Q138" s="3"/>
      <c r="R138" s="3"/>
      <c r="S138" s="3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x14ac:dyDescent="0.2">
      <c r="A139" s="3"/>
      <c r="B139" s="3"/>
      <c r="C139" s="4"/>
      <c r="D139" s="3"/>
      <c r="E139" s="3"/>
      <c r="F139" s="3"/>
      <c r="G139" s="3"/>
      <c r="H139" s="3"/>
      <c r="I139" s="4"/>
      <c r="J139" s="4"/>
      <c r="K139" s="4"/>
      <c r="L139" s="3"/>
      <c r="M139" s="4"/>
      <c r="N139" s="3"/>
      <c r="O139" s="3"/>
      <c r="P139" s="3"/>
      <c r="Q139" s="3"/>
      <c r="R139" s="3"/>
      <c r="S139" s="3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x14ac:dyDescent="0.2">
      <c r="A140" s="3"/>
      <c r="B140" s="3"/>
      <c r="C140" s="4"/>
      <c r="D140" s="3"/>
      <c r="E140" s="3"/>
      <c r="F140" s="3"/>
      <c r="G140" s="3"/>
      <c r="H140" s="3"/>
      <c r="I140" s="4"/>
      <c r="J140" s="4"/>
      <c r="K140" s="4"/>
      <c r="L140" s="3"/>
      <c r="M140" s="4"/>
      <c r="N140" s="3"/>
      <c r="O140" s="3"/>
      <c r="P140" s="3"/>
      <c r="Q140" s="3"/>
      <c r="R140" s="3"/>
      <c r="S140" s="3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x14ac:dyDescent="0.2">
      <c r="A141" s="3"/>
      <c r="B141" s="3"/>
      <c r="C141" s="4"/>
      <c r="D141" s="3"/>
      <c r="E141" s="3"/>
      <c r="F141" s="3"/>
      <c r="G141" s="3"/>
      <c r="H141" s="3"/>
      <c r="I141" s="4"/>
      <c r="J141" s="4"/>
      <c r="K141" s="4"/>
      <c r="L141" s="3"/>
      <c r="M141" s="4"/>
      <c r="N141" s="3"/>
      <c r="O141" s="3"/>
      <c r="P141" s="3"/>
      <c r="Q141" s="3"/>
      <c r="R141" s="3"/>
      <c r="S141" s="3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x14ac:dyDescent="0.2">
      <c r="A142" s="3"/>
      <c r="B142" s="3"/>
      <c r="C142" s="4"/>
      <c r="D142" s="3"/>
      <c r="E142" s="3"/>
      <c r="F142" s="3"/>
      <c r="G142" s="3"/>
      <c r="H142" s="3"/>
      <c r="I142" s="4"/>
      <c r="J142" s="4"/>
      <c r="K142" s="4"/>
      <c r="L142" s="3"/>
      <c r="M142" s="4"/>
      <c r="N142" s="3"/>
      <c r="O142" s="3"/>
      <c r="P142" s="3"/>
      <c r="Q142" s="3"/>
      <c r="R142" s="3"/>
      <c r="S142" s="3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x14ac:dyDescent="0.2">
      <c r="A143" s="3"/>
      <c r="B143" s="3"/>
      <c r="C143" s="4"/>
      <c r="D143" s="3"/>
      <c r="E143" s="3"/>
      <c r="F143" s="3"/>
      <c r="G143" s="3"/>
      <c r="H143" s="3"/>
      <c r="I143" s="4"/>
      <c r="J143" s="4"/>
      <c r="K143" s="4"/>
      <c r="L143" s="3"/>
      <c r="M143" s="4"/>
      <c r="N143" s="3"/>
      <c r="O143" s="3"/>
      <c r="P143" s="3"/>
      <c r="Q143" s="3"/>
      <c r="R143" s="3"/>
      <c r="S143" s="3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 x14ac:dyDescent="0.2">
      <c r="A144" s="3"/>
      <c r="B144" s="3"/>
      <c r="C144" s="4"/>
      <c r="D144" s="3"/>
      <c r="E144" s="3"/>
      <c r="F144" s="3"/>
      <c r="G144" s="3"/>
      <c r="H144" s="3"/>
      <c r="I144" s="4"/>
      <c r="J144" s="4"/>
      <c r="K144" s="4"/>
      <c r="L144" s="3"/>
      <c r="M144" s="4"/>
      <c r="N144" s="3"/>
      <c r="O144" s="3"/>
      <c r="P144" s="3"/>
      <c r="Q144" s="3"/>
      <c r="R144" s="3"/>
      <c r="S144" s="3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x14ac:dyDescent="0.2">
      <c r="A145" s="3"/>
      <c r="B145" s="3"/>
      <c r="C145" s="4"/>
      <c r="D145" s="3"/>
      <c r="E145" s="3"/>
      <c r="F145" s="3"/>
      <c r="G145" s="3"/>
      <c r="H145" s="3"/>
      <c r="I145" s="4"/>
      <c r="J145" s="4"/>
      <c r="K145" s="4"/>
      <c r="L145" s="3"/>
      <c r="M145" s="4"/>
      <c r="N145" s="3"/>
      <c r="O145" s="3"/>
      <c r="P145" s="3"/>
      <c r="Q145" s="3"/>
      <c r="R145" s="3"/>
      <c r="S145" s="3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s="1" customFormat="1" x14ac:dyDescent="0.2">
      <c r="A146" s="3"/>
      <c r="B146" s="3"/>
      <c r="C146" s="103"/>
      <c r="D146" s="3"/>
      <c r="E146" s="3"/>
      <c r="F146" s="3"/>
      <c r="G146" s="3"/>
      <c r="H146" s="3"/>
      <c r="I146" s="4"/>
      <c r="J146" s="4"/>
      <c r="K146" s="4"/>
      <c r="L146" s="3"/>
      <c r="M146" s="4"/>
      <c r="N146" s="3"/>
      <c r="O146" s="3"/>
      <c r="P146" s="3"/>
      <c r="Q146" s="3"/>
      <c r="R146" s="3"/>
      <c r="S146" s="3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 s="1" customFormat="1" x14ac:dyDescent="0.2">
      <c r="A147" s="3"/>
      <c r="B147" s="3"/>
      <c r="C147" s="4"/>
      <c r="D147" s="104"/>
      <c r="E147" s="3"/>
      <c r="F147" s="3"/>
      <c r="G147" s="3"/>
      <c r="H147" s="3"/>
      <c r="I147" s="4"/>
      <c r="J147" s="4"/>
      <c r="K147" s="4"/>
      <c r="L147" s="3"/>
      <c r="M147" s="4"/>
      <c r="N147" s="3"/>
      <c r="O147" s="3"/>
      <c r="P147" s="3"/>
      <c r="Q147" s="3"/>
      <c r="R147" s="3"/>
      <c r="S147" s="3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 x14ac:dyDescent="0.2">
      <c r="A148" s="3"/>
      <c r="B148" s="3"/>
      <c r="C148" s="4"/>
      <c r="D148" s="3"/>
      <c r="E148" s="3"/>
      <c r="F148" s="3"/>
      <c r="G148" s="3"/>
      <c r="H148" s="3"/>
      <c r="I148" s="4"/>
      <c r="J148" s="4"/>
      <c r="K148" s="4"/>
      <c r="L148" s="3"/>
      <c r="M148" s="4"/>
      <c r="N148" s="3"/>
      <c r="O148" s="3"/>
      <c r="P148" s="3"/>
      <c r="Q148" s="3"/>
      <c r="R148" s="3"/>
      <c r="S148" s="3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 x14ac:dyDescent="0.2">
      <c r="A149" s="3"/>
      <c r="B149" s="3"/>
      <c r="C149" s="4"/>
      <c r="D149" s="3"/>
      <c r="E149" s="3"/>
      <c r="F149" s="3"/>
      <c r="G149" s="3"/>
      <c r="H149" s="3"/>
      <c r="I149" s="4"/>
      <c r="J149" s="4"/>
      <c r="K149" s="4"/>
      <c r="L149" s="3"/>
      <c r="M149" s="4"/>
      <c r="N149" s="3"/>
      <c r="O149" s="3"/>
      <c r="P149" s="3"/>
      <c r="Q149" s="3"/>
      <c r="R149" s="3"/>
      <c r="S149" s="3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x14ac:dyDescent="0.2">
      <c r="A150" s="3"/>
      <c r="B150" s="3"/>
      <c r="C150" s="4"/>
      <c r="D150" s="3"/>
      <c r="E150" s="3"/>
      <c r="F150" s="3"/>
      <c r="G150" s="3"/>
      <c r="H150" s="3"/>
      <c r="I150" s="4"/>
      <c r="J150" s="4"/>
      <c r="K150" s="4"/>
      <c r="L150" s="3"/>
      <c r="M150" s="4"/>
      <c r="N150" s="3"/>
      <c r="O150" s="3"/>
      <c r="P150" s="3"/>
      <c r="Q150" s="3"/>
      <c r="R150" s="3"/>
      <c r="S150" s="3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x14ac:dyDescent="0.2">
      <c r="A151" s="3"/>
      <c r="B151" s="3"/>
      <c r="C151" s="4"/>
      <c r="D151" s="3"/>
      <c r="E151" s="3"/>
      <c r="F151" s="3"/>
      <c r="G151" s="3"/>
      <c r="H151" s="3"/>
      <c r="I151" s="4"/>
      <c r="J151" s="4"/>
      <c r="K151" s="4"/>
      <c r="L151" s="3"/>
      <c r="M151" s="4"/>
      <c r="N151" s="3"/>
      <c r="O151" s="3"/>
      <c r="P151" s="3"/>
      <c r="Q151" s="3"/>
      <c r="R151" s="3"/>
      <c r="S151" s="3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x14ac:dyDescent="0.2">
      <c r="A152" s="3"/>
      <c r="B152" s="3"/>
      <c r="C152" s="4"/>
      <c r="D152" s="3"/>
      <c r="E152" s="3"/>
      <c r="F152" s="3"/>
      <c r="G152" s="3"/>
      <c r="H152" s="3"/>
      <c r="I152" s="4"/>
      <c r="J152" s="4"/>
      <c r="K152" s="4"/>
      <c r="L152" s="3"/>
      <c r="M152" s="4"/>
      <c r="N152" s="3"/>
      <c r="O152" s="3"/>
      <c r="P152" s="3"/>
      <c r="Q152" s="3"/>
      <c r="R152" s="3"/>
      <c r="S152" s="3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 x14ac:dyDescent="0.2">
      <c r="A153" s="3"/>
      <c r="B153" s="3"/>
      <c r="C153" s="4"/>
      <c r="D153" s="3"/>
      <c r="E153" s="3"/>
      <c r="F153" s="3"/>
      <c r="G153" s="3"/>
      <c r="H153" s="3"/>
      <c r="I153" s="4"/>
      <c r="J153" s="4"/>
      <c r="K153" s="4"/>
      <c r="L153" s="3"/>
      <c r="M153" s="4"/>
      <c r="N153" s="3"/>
      <c r="O153" s="3"/>
      <c r="P153" s="3"/>
      <c r="Q153" s="3"/>
      <c r="R153" s="3"/>
      <c r="S153" s="3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 x14ac:dyDescent="0.2">
      <c r="A154" s="3"/>
      <c r="B154" s="3"/>
      <c r="C154" s="4"/>
      <c r="D154" s="3"/>
      <c r="E154" s="3"/>
      <c r="F154" s="3"/>
      <c r="G154" s="3"/>
      <c r="H154" s="3"/>
      <c r="I154" s="4"/>
      <c r="J154" s="4"/>
      <c r="K154" s="4"/>
      <c r="L154" s="3"/>
      <c r="M154" s="4"/>
      <c r="N154" s="3"/>
      <c r="O154" s="3"/>
      <c r="P154" s="3"/>
      <c r="Q154" s="3"/>
      <c r="R154" s="3"/>
      <c r="S154" s="3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 x14ac:dyDescent="0.2">
      <c r="A155" s="3"/>
      <c r="B155" s="3"/>
      <c r="C155" s="4"/>
      <c r="D155" s="3"/>
      <c r="E155" s="3"/>
      <c r="F155" s="3"/>
      <c r="G155" s="3"/>
      <c r="H155" s="3"/>
      <c r="I155" s="4"/>
      <c r="J155" s="4"/>
      <c r="K155" s="4"/>
      <c r="L155" s="3"/>
      <c r="M155" s="4"/>
      <c r="N155" s="3"/>
      <c r="O155" s="3"/>
      <c r="P155" s="3"/>
      <c r="Q155" s="3"/>
      <c r="R155" s="3"/>
      <c r="S155" s="3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 x14ac:dyDescent="0.2">
      <c r="A156" s="3"/>
      <c r="B156" s="3"/>
      <c r="C156" s="4"/>
      <c r="D156" s="3"/>
      <c r="E156" s="3"/>
      <c r="F156" s="3"/>
      <c r="G156" s="3"/>
      <c r="H156" s="3"/>
      <c r="I156" s="4"/>
      <c r="J156" s="4"/>
      <c r="K156" s="4"/>
      <c r="L156" s="3"/>
      <c r="M156" s="4"/>
      <c r="N156" s="3"/>
      <c r="O156" s="3"/>
      <c r="P156" s="3"/>
      <c r="Q156" s="3"/>
      <c r="R156" s="3"/>
      <c r="S156" s="3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 x14ac:dyDescent="0.2">
      <c r="A157" s="3"/>
      <c r="B157" s="3"/>
      <c r="C157" s="4"/>
      <c r="D157" s="3"/>
      <c r="E157" s="3"/>
      <c r="F157" s="3"/>
      <c r="G157" s="3"/>
      <c r="H157" s="3"/>
      <c r="I157" s="4"/>
      <c r="J157" s="4"/>
      <c r="K157" s="4"/>
      <c r="L157" s="3"/>
      <c r="M157" s="4"/>
      <c r="N157" s="3"/>
      <c r="O157" s="3"/>
      <c r="P157" s="3"/>
      <c r="Q157" s="3"/>
      <c r="R157" s="3"/>
      <c r="S157" s="3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 x14ac:dyDescent="0.2">
      <c r="A158" s="3"/>
      <c r="B158" s="3"/>
      <c r="C158" s="4"/>
      <c r="D158" s="3"/>
      <c r="E158" s="3"/>
      <c r="F158" s="3"/>
      <c r="G158" s="3"/>
      <c r="H158" s="3"/>
      <c r="I158" s="4"/>
      <c r="J158" s="4"/>
      <c r="K158" s="4"/>
      <c r="L158" s="3"/>
      <c r="M158" s="4"/>
      <c r="N158" s="3"/>
      <c r="O158" s="3"/>
      <c r="P158" s="3"/>
      <c r="Q158" s="3"/>
      <c r="R158" s="3"/>
      <c r="S158" s="3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 x14ac:dyDescent="0.2">
      <c r="A159" s="3"/>
      <c r="B159" s="3"/>
      <c r="C159" s="4"/>
      <c r="D159" s="3"/>
      <c r="E159" s="3"/>
      <c r="F159" s="3"/>
      <c r="G159" s="3"/>
      <c r="H159" s="3"/>
      <c r="I159" s="4"/>
      <c r="J159" s="4"/>
      <c r="K159" s="4"/>
      <c r="L159" s="3"/>
      <c r="M159" s="4"/>
      <c r="N159" s="3"/>
      <c r="O159" s="3"/>
      <c r="P159" s="3"/>
      <c r="Q159" s="3"/>
      <c r="R159" s="3"/>
      <c r="S159" s="3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 x14ac:dyDescent="0.2">
      <c r="A160" s="3"/>
      <c r="B160" s="3"/>
      <c r="C160" s="4"/>
      <c r="D160" s="3"/>
      <c r="E160" s="3"/>
      <c r="F160" s="3"/>
      <c r="G160" s="3"/>
      <c r="H160" s="3"/>
      <c r="I160" s="4"/>
      <c r="J160" s="4"/>
      <c r="K160" s="4"/>
      <c r="L160" s="3"/>
      <c r="M160" s="4"/>
      <c r="N160" s="3"/>
      <c r="O160" s="3"/>
      <c r="P160" s="3"/>
      <c r="Q160" s="3"/>
      <c r="R160" s="3"/>
      <c r="S160" s="3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 x14ac:dyDescent="0.2">
      <c r="A161" s="3"/>
      <c r="B161" s="3"/>
      <c r="C161" s="4"/>
      <c r="D161" s="3"/>
      <c r="E161" s="3"/>
      <c r="F161" s="3"/>
      <c r="G161" s="3"/>
      <c r="H161" s="3"/>
      <c r="I161" s="4"/>
      <c r="J161" s="4"/>
      <c r="K161" s="4"/>
      <c r="L161" s="3"/>
      <c r="M161" s="4"/>
      <c r="N161" s="3"/>
      <c r="O161" s="3"/>
      <c r="P161" s="3"/>
      <c r="Q161" s="3"/>
      <c r="R161" s="3"/>
      <c r="S161" s="3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 x14ac:dyDescent="0.2">
      <c r="A162" s="3"/>
      <c r="B162" s="3"/>
      <c r="C162" s="4"/>
      <c r="D162" s="3"/>
      <c r="E162" s="3"/>
      <c r="F162" s="3"/>
      <c r="G162" s="3"/>
      <c r="H162" s="3"/>
      <c r="I162" s="4"/>
      <c r="J162" s="4"/>
      <c r="K162" s="4"/>
      <c r="L162" s="3"/>
      <c r="M162" s="4"/>
      <c r="N162" s="3"/>
      <c r="O162" s="3"/>
      <c r="P162" s="3"/>
      <c r="Q162" s="3"/>
      <c r="R162" s="3"/>
      <c r="S162" s="3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x14ac:dyDescent="0.2">
      <c r="A163" s="3"/>
      <c r="B163" s="3"/>
      <c r="C163" s="4"/>
      <c r="D163" s="3"/>
      <c r="E163" s="3"/>
      <c r="F163" s="3"/>
      <c r="G163" s="3"/>
      <c r="H163" s="3"/>
      <c r="I163" s="4"/>
      <c r="J163" s="4"/>
      <c r="K163" s="4"/>
      <c r="L163" s="3"/>
      <c r="M163" s="4"/>
      <c r="N163" s="3"/>
      <c r="O163" s="3"/>
      <c r="P163" s="3"/>
      <c r="Q163" s="3"/>
      <c r="R163" s="3"/>
      <c r="S163" s="3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 x14ac:dyDescent="0.2">
      <c r="A164" s="3"/>
      <c r="B164" s="3"/>
      <c r="C164" s="4"/>
      <c r="D164" s="3"/>
      <c r="E164" s="3"/>
      <c r="F164" s="3"/>
      <c r="G164" s="3"/>
      <c r="H164" s="3"/>
      <c r="I164" s="4"/>
      <c r="J164" s="4"/>
      <c r="K164" s="4"/>
      <c r="L164" s="3"/>
      <c r="M164" s="4"/>
      <c r="N164" s="3"/>
      <c r="O164" s="3"/>
      <c r="P164" s="3"/>
      <c r="Q164" s="3"/>
      <c r="R164" s="3"/>
      <c r="S164" s="3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 x14ac:dyDescent="0.2">
      <c r="A165" s="3"/>
      <c r="B165" s="3"/>
      <c r="C165" s="4"/>
      <c r="D165" s="3"/>
      <c r="E165" s="3"/>
      <c r="F165" s="3"/>
      <c r="G165" s="3"/>
      <c r="H165" s="3"/>
      <c r="I165" s="4"/>
      <c r="J165" s="4"/>
      <c r="K165" s="4"/>
      <c r="L165" s="3"/>
      <c r="M165" s="4"/>
      <c r="N165" s="3"/>
      <c r="O165" s="3"/>
      <c r="P165" s="3"/>
      <c r="Q165" s="3"/>
      <c r="R165" s="3"/>
      <c r="S165" s="3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 x14ac:dyDescent="0.2">
      <c r="A166" s="3"/>
      <c r="B166" s="3"/>
      <c r="C166" s="4"/>
      <c r="D166" s="3"/>
      <c r="E166" s="3"/>
      <c r="F166" s="3"/>
      <c r="G166" s="3"/>
      <c r="H166" s="3"/>
      <c r="I166" s="4"/>
      <c r="J166" s="4"/>
      <c r="K166" s="4"/>
      <c r="L166" s="3"/>
      <c r="M166" s="4"/>
      <c r="N166" s="3"/>
      <c r="O166" s="3"/>
      <c r="P166" s="3"/>
      <c r="Q166" s="3"/>
      <c r="R166" s="3"/>
      <c r="S166" s="3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 x14ac:dyDescent="0.2">
      <c r="A167" s="3"/>
      <c r="B167" s="3"/>
      <c r="C167" s="4"/>
      <c r="D167" s="3"/>
      <c r="E167" s="3"/>
      <c r="F167" s="3"/>
      <c r="G167" s="3"/>
      <c r="H167" s="3"/>
      <c r="I167" s="4"/>
      <c r="J167" s="4"/>
      <c r="K167" s="4"/>
      <c r="L167" s="3"/>
      <c r="M167" s="4"/>
      <c r="N167" s="3"/>
      <c r="O167" s="3"/>
      <c r="P167" s="3"/>
      <c r="Q167" s="3"/>
      <c r="R167" s="3"/>
      <c r="S167" s="3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s="1" customFormat="1" x14ac:dyDescent="0.2">
      <c r="A168" s="3"/>
      <c r="B168" s="3"/>
      <c r="C168" s="4"/>
      <c r="D168" s="3"/>
      <c r="E168" s="3"/>
      <c r="F168" s="3"/>
      <c r="G168" s="3"/>
      <c r="H168" s="3"/>
      <c r="I168" s="4"/>
      <c r="J168" s="4"/>
      <c r="K168" s="4"/>
      <c r="L168" s="3"/>
      <c r="M168" s="4"/>
      <c r="N168" s="3"/>
      <c r="O168" s="3"/>
      <c r="P168" s="3"/>
      <c r="Q168" s="3"/>
      <c r="R168" s="3"/>
      <c r="S168" s="3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 s="1" customFormat="1" x14ac:dyDescent="0.2">
      <c r="A169" s="3"/>
      <c r="B169" s="3"/>
      <c r="C169" s="4"/>
      <c r="D169" s="3"/>
      <c r="E169" s="3"/>
      <c r="F169" s="3"/>
      <c r="G169" s="3"/>
      <c r="H169" s="3"/>
      <c r="I169" s="4"/>
      <c r="J169" s="4"/>
      <c r="K169" s="4"/>
      <c r="L169" s="3"/>
      <c r="M169" s="4"/>
      <c r="N169" s="3"/>
      <c r="O169" s="3"/>
      <c r="P169" s="3"/>
      <c r="Q169" s="3"/>
      <c r="R169" s="3"/>
      <c r="S169" s="3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</sheetData>
  <mergeCells count="3">
    <mergeCell ref="B2:L5"/>
    <mergeCell ref="A86:D86"/>
    <mergeCell ref="A87:C87"/>
  </mergeCells>
  <dataValidations count="1">
    <dataValidation type="list" allowBlank="1" showInputMessage="1" showErrorMessage="1" sqref="J13:K13 J10 E15" xr:uid="{7C0F9FE3-7DCB-4E49-81C7-A97D6144F144}">
      <formula1>INDIRECT(D10)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EA780BA-BB32-416A-9390-3904D7A2FBC2}">
          <x14:formula1>
            <xm:f>'Look up'!$A$21</xm:f>
          </x14:formula1>
          <xm:sqref>D15 I10</xm:sqref>
        </x14:dataValidation>
        <x14:dataValidation type="list" allowBlank="1" showInputMessage="1" showErrorMessage="1" xr:uid="{37960488-2F7D-4ED1-8B1E-BCCF9C9074DA}">
          <x14:formula1>
            <xm:f>'Look up'!$A$15:$A$16</xm:f>
          </x14:formula1>
          <xm:sqref>D16</xm:sqref>
        </x14:dataValidation>
        <x14:dataValidation type="list" allowBlank="1" showInputMessage="1" showErrorMessage="1" xr:uid="{43FDA536-393F-4E35-8CF0-929FEC5086BA}">
          <x14:formula1>
            <xm:f>'Look up'!$D$37:$D$41</xm:f>
          </x14:formula1>
          <xm:sqref>I13</xm:sqref>
        </x14:dataValidation>
        <x14:dataValidation type="list" allowBlank="1" showInputMessage="1" showErrorMessage="1" xr:uid="{C511C742-D29C-4A49-8A6F-805268CDBBB0}">
          <x14:formula1>
            <xm:f>'Look up'!$B$9:$B$15</xm:f>
          </x14:formula1>
          <xm:sqref>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A8068-1BF0-4259-A45A-588EFCE6A414}">
  <sheetPr codeName="Sheet7"/>
  <dimension ref="A1:AJ46"/>
  <sheetViews>
    <sheetView topLeftCell="B1" zoomScale="124" zoomScaleNormal="124" workbookViewId="0">
      <selection activeCell="B9" sqref="B9"/>
    </sheetView>
  </sheetViews>
  <sheetFormatPr defaultRowHeight="12.75" x14ac:dyDescent="0.2"/>
  <cols>
    <col min="1" max="1" width="10.5703125" customWidth="1"/>
    <col min="3" max="3" width="9.7109375" customWidth="1"/>
    <col min="4" max="4" width="12.7109375" customWidth="1"/>
    <col min="6" max="6" width="10.85546875" customWidth="1"/>
    <col min="7" max="7" width="10.7109375" customWidth="1"/>
    <col min="8" max="8" width="10.5703125" customWidth="1"/>
    <col min="11" max="11" width="10" customWidth="1"/>
    <col min="12" max="12" width="11.5703125" customWidth="1"/>
    <col min="13" max="13" width="10" customWidth="1"/>
  </cols>
  <sheetData>
    <row r="1" spans="1:20" x14ac:dyDescent="0.2">
      <c r="A1" s="122" t="s">
        <v>32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3"/>
    </row>
    <row r="2" spans="1:20" x14ac:dyDescent="0.2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3"/>
    </row>
    <row r="3" spans="1:20" x14ac:dyDescent="0.2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3"/>
    </row>
    <row r="4" spans="1:20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10"/>
    </row>
    <row r="5" spans="1:20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0"/>
    </row>
    <row r="6" spans="1:20" ht="13.5" thickBo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10"/>
    </row>
    <row r="7" spans="1:20" ht="15.75" thickBot="1" x14ac:dyDescent="0.3">
      <c r="A7" s="116" t="s">
        <v>6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8"/>
    </row>
    <row r="8" spans="1:20" ht="15" x14ac:dyDescent="0.25">
      <c r="A8" s="33" t="s">
        <v>24</v>
      </c>
      <c r="B8" s="34" t="s">
        <v>23</v>
      </c>
      <c r="C8" s="34" t="s">
        <v>25</v>
      </c>
      <c r="D8" s="34"/>
      <c r="E8" s="34" t="s">
        <v>29</v>
      </c>
      <c r="F8" s="34"/>
      <c r="G8" s="34" t="s">
        <v>15</v>
      </c>
      <c r="H8" s="34"/>
      <c r="I8" s="34" t="s">
        <v>0</v>
      </c>
      <c r="J8" s="34"/>
      <c r="K8" s="34" t="s">
        <v>30</v>
      </c>
      <c r="L8" s="34" t="s">
        <v>17</v>
      </c>
      <c r="M8" s="35"/>
    </row>
    <row r="9" spans="1:20" ht="15" x14ac:dyDescent="0.25">
      <c r="A9" s="36" t="s">
        <v>22</v>
      </c>
      <c r="B9" s="37" t="s">
        <v>74</v>
      </c>
      <c r="C9" s="38">
        <f>58000 * 0.00689476</f>
        <v>399.89607999999998</v>
      </c>
      <c r="D9" s="3" t="s">
        <v>10</v>
      </c>
      <c r="E9" s="39">
        <v>16</v>
      </c>
      <c r="F9" s="61" t="s">
        <v>19</v>
      </c>
      <c r="G9" s="40">
        <v>5.1999999999999998E-3</v>
      </c>
      <c r="H9" s="5" t="s">
        <v>16</v>
      </c>
      <c r="I9" s="41">
        <v>2E-3</v>
      </c>
      <c r="J9" s="61" t="s">
        <v>1</v>
      </c>
      <c r="K9" s="61"/>
      <c r="L9" s="4">
        <f t="shared" ref="L9:L18" si="0">E9/C9</f>
        <v>4.0010394700543205E-2</v>
      </c>
      <c r="M9" s="42" t="s">
        <v>20</v>
      </c>
      <c r="N9" s="105" t="s">
        <v>75</v>
      </c>
    </row>
    <row r="10" spans="1:20" ht="15" x14ac:dyDescent="0.25">
      <c r="A10" s="36" t="s">
        <v>22</v>
      </c>
      <c r="B10" s="37">
        <v>621</v>
      </c>
      <c r="C10" s="38">
        <f t="shared" ref="C10:C16" si="1">15000 * 0.00689476</f>
        <v>103.42139999999999</v>
      </c>
      <c r="D10" s="3" t="s">
        <v>10</v>
      </c>
      <c r="E10" s="39">
        <f>20-4</f>
        <v>16</v>
      </c>
      <c r="F10" s="61" t="s">
        <v>19</v>
      </c>
      <c r="G10" s="40">
        <v>2.5000000000000001E-3</v>
      </c>
      <c r="H10" s="5" t="s">
        <v>16</v>
      </c>
      <c r="I10" s="41">
        <v>1.1E-4</v>
      </c>
      <c r="J10" s="61" t="s">
        <v>1</v>
      </c>
      <c r="K10" s="61"/>
      <c r="L10" s="4">
        <f t="shared" si="0"/>
        <v>0.15470685950876706</v>
      </c>
      <c r="M10" s="42" t="s">
        <v>20</v>
      </c>
      <c r="N10" s="105" t="s">
        <v>75</v>
      </c>
    </row>
    <row r="11" spans="1:20" ht="15" x14ac:dyDescent="0.25">
      <c r="A11" s="36" t="s">
        <v>22</v>
      </c>
      <c r="B11" s="37">
        <v>622</v>
      </c>
      <c r="C11" s="38">
        <f t="shared" si="1"/>
        <v>103.42139999999999</v>
      </c>
      <c r="D11" s="3" t="s">
        <v>10</v>
      </c>
      <c r="E11" s="39">
        <f>20-4</f>
        <v>16</v>
      </c>
      <c r="F11" s="61" t="s">
        <v>19</v>
      </c>
      <c r="G11" s="40">
        <v>2.5000000000000001E-3</v>
      </c>
      <c r="H11" s="5" t="s">
        <v>16</v>
      </c>
      <c r="I11" s="41">
        <v>1.1E-4</v>
      </c>
      <c r="J11" s="61" t="s">
        <v>1</v>
      </c>
      <c r="K11" s="61"/>
      <c r="L11" s="4">
        <f t="shared" si="0"/>
        <v>0.15470685950876706</v>
      </c>
      <c r="M11" s="42" t="s">
        <v>20</v>
      </c>
      <c r="N11" s="105" t="s">
        <v>75</v>
      </c>
    </row>
    <row r="12" spans="1:20" s="1" customFormat="1" ht="15" x14ac:dyDescent="0.25">
      <c r="A12" s="36" t="s">
        <v>22</v>
      </c>
      <c r="B12" s="37">
        <v>623</v>
      </c>
      <c r="C12" s="38">
        <f t="shared" si="1"/>
        <v>103.42139999999999</v>
      </c>
      <c r="D12" s="3" t="s">
        <v>10</v>
      </c>
      <c r="E12" s="39">
        <f>20-4</f>
        <v>16</v>
      </c>
      <c r="F12" s="61" t="s">
        <v>19</v>
      </c>
      <c r="G12" s="40">
        <v>2.5000000000000001E-3</v>
      </c>
      <c r="H12" s="5" t="s">
        <v>16</v>
      </c>
      <c r="I12" s="41">
        <v>1.1E-4</v>
      </c>
      <c r="J12" s="61" t="s">
        <v>1</v>
      </c>
      <c r="K12" s="61"/>
      <c r="L12" s="4">
        <f t="shared" si="0"/>
        <v>0.15470685950876706</v>
      </c>
      <c r="M12" s="42" t="s">
        <v>20</v>
      </c>
      <c r="N12" s="105" t="s">
        <v>75</v>
      </c>
      <c r="O12"/>
      <c r="R12"/>
      <c r="T12"/>
    </row>
    <row r="13" spans="1:20" s="1" customFormat="1" ht="15" x14ac:dyDescent="0.25">
      <c r="A13" s="36" t="s">
        <v>22</v>
      </c>
      <c r="B13" s="37">
        <v>624</v>
      </c>
      <c r="C13" s="38">
        <f t="shared" si="1"/>
        <v>103.42139999999999</v>
      </c>
      <c r="D13" s="3" t="s">
        <v>10</v>
      </c>
      <c r="E13" s="39">
        <f>20-4</f>
        <v>16</v>
      </c>
      <c r="F13" s="61" t="s">
        <v>19</v>
      </c>
      <c r="G13" s="40">
        <v>2.5000000000000001E-3</v>
      </c>
      <c r="H13" s="5" t="s">
        <v>16</v>
      </c>
      <c r="I13" s="41">
        <v>1.1E-4</v>
      </c>
      <c r="J13" s="61" t="s">
        <v>1</v>
      </c>
      <c r="K13" s="61"/>
      <c r="L13" s="4">
        <f t="shared" si="0"/>
        <v>0.15470685950876706</v>
      </c>
      <c r="M13" s="42" t="s">
        <v>20</v>
      </c>
      <c r="N13" s="105" t="s">
        <v>75</v>
      </c>
      <c r="O13"/>
      <c r="R13"/>
      <c r="T13"/>
    </row>
    <row r="14" spans="1:20" s="1" customFormat="1" ht="15" x14ac:dyDescent="0.25">
      <c r="A14" s="36" t="s">
        <v>22</v>
      </c>
      <c r="B14" s="37">
        <v>625</v>
      </c>
      <c r="C14" s="38">
        <f t="shared" si="1"/>
        <v>103.42139999999999</v>
      </c>
      <c r="D14" s="3" t="s">
        <v>10</v>
      </c>
      <c r="E14" s="39">
        <v>20</v>
      </c>
      <c r="F14" s="61" t="s">
        <v>19</v>
      </c>
      <c r="G14" s="40">
        <v>2.5000000000000001E-3</v>
      </c>
      <c r="H14" s="5" t="s">
        <v>16</v>
      </c>
      <c r="I14" s="41">
        <v>1.1E-4</v>
      </c>
      <c r="J14" s="61" t="s">
        <v>1</v>
      </c>
      <c r="K14" s="61"/>
      <c r="L14" s="4">
        <f t="shared" si="0"/>
        <v>0.19338357438595882</v>
      </c>
      <c r="M14" s="42" t="s">
        <v>20</v>
      </c>
      <c r="N14" s="105" t="s">
        <v>75</v>
      </c>
      <c r="O14" s="14"/>
      <c r="R14" s="11"/>
      <c r="T14"/>
    </row>
    <row r="15" spans="1:20" ht="15" x14ac:dyDescent="0.25">
      <c r="A15" s="43" t="s">
        <v>22</v>
      </c>
      <c r="B15" s="44">
        <v>626</v>
      </c>
      <c r="C15" s="45">
        <f t="shared" si="1"/>
        <v>103.42139999999999</v>
      </c>
      <c r="D15" s="46" t="s">
        <v>10</v>
      </c>
      <c r="E15" s="47">
        <f>20-4</f>
        <v>16</v>
      </c>
      <c r="F15" s="48" t="s">
        <v>19</v>
      </c>
      <c r="G15" s="49">
        <v>2.5000000000000001E-3</v>
      </c>
      <c r="H15" s="50" t="s">
        <v>16</v>
      </c>
      <c r="I15" s="51">
        <v>1.1E-4</v>
      </c>
      <c r="J15" s="48" t="s">
        <v>1</v>
      </c>
      <c r="K15" s="48"/>
      <c r="L15" s="4">
        <f t="shared" si="0"/>
        <v>0.15470685950876706</v>
      </c>
      <c r="M15" s="42" t="s">
        <v>20</v>
      </c>
      <c r="N15" s="105" t="s">
        <v>75</v>
      </c>
    </row>
    <row r="16" spans="1:20" ht="15" x14ac:dyDescent="0.25">
      <c r="A16" s="36" t="s">
        <v>54</v>
      </c>
      <c r="B16" s="3" t="s">
        <v>26</v>
      </c>
      <c r="C16" s="38">
        <f t="shared" si="1"/>
        <v>103.42139999999999</v>
      </c>
      <c r="D16" s="3" t="s">
        <v>10</v>
      </c>
      <c r="E16" s="4">
        <v>4.9000000000000004</v>
      </c>
      <c r="F16" s="5" t="s">
        <v>3</v>
      </c>
      <c r="G16" s="40">
        <v>2.5000000000000001E-3</v>
      </c>
      <c r="H16" s="5" t="s">
        <v>16</v>
      </c>
      <c r="I16" s="41">
        <v>2.0000000000000001E-4</v>
      </c>
      <c r="J16" s="61" t="s">
        <v>1</v>
      </c>
      <c r="K16" s="40">
        <v>2.5000000000000001E-4</v>
      </c>
      <c r="L16" s="9">
        <f t="shared" si="0"/>
        <v>4.7378975724559916E-2</v>
      </c>
      <c r="M16" s="52" t="s">
        <v>31</v>
      </c>
      <c r="N16" s="105" t="s">
        <v>75</v>
      </c>
    </row>
    <row r="17" spans="1:18" ht="15" x14ac:dyDescent="0.25">
      <c r="A17" s="36" t="s">
        <v>54</v>
      </c>
      <c r="B17" s="3" t="s">
        <v>27</v>
      </c>
      <c r="C17" s="38">
        <f>20000 * 0.00689476</f>
        <v>137.89519999999999</v>
      </c>
      <c r="D17" s="3" t="s">
        <v>10</v>
      </c>
      <c r="E17" s="4">
        <v>4.9000000000000004</v>
      </c>
      <c r="F17" s="5" t="s">
        <v>3</v>
      </c>
      <c r="G17" s="40">
        <v>2.5000000000000001E-3</v>
      </c>
      <c r="H17" s="5" t="s">
        <v>16</v>
      </c>
      <c r="I17" s="41">
        <v>2.0000000000000001E-4</v>
      </c>
      <c r="J17" s="61" t="s">
        <v>1</v>
      </c>
      <c r="K17" s="40">
        <v>2.5000000000000001E-4</v>
      </c>
      <c r="L17" s="4">
        <f t="shared" si="0"/>
        <v>3.5534231793419933E-2</v>
      </c>
      <c r="M17" s="42" t="s">
        <v>31</v>
      </c>
      <c r="N17" s="105" t="s">
        <v>75</v>
      </c>
    </row>
    <row r="18" spans="1:18" ht="15.75" thickBot="1" x14ac:dyDescent="0.3">
      <c r="A18" s="36" t="s">
        <v>54</v>
      </c>
      <c r="B18" s="3" t="s">
        <v>28</v>
      </c>
      <c r="C18" s="38">
        <f>20000 * 0.00689476</f>
        <v>137.89519999999999</v>
      </c>
      <c r="D18" s="3" t="s">
        <v>10</v>
      </c>
      <c r="E18" s="4">
        <v>4.9000000000000004</v>
      </c>
      <c r="F18" s="5" t="s">
        <v>3</v>
      </c>
      <c r="G18" s="40">
        <v>2.5000000000000001E-3</v>
      </c>
      <c r="H18" s="5" t="s">
        <v>16</v>
      </c>
      <c r="I18" s="41">
        <v>2.0000000000000001E-4</v>
      </c>
      <c r="J18" s="61" t="s">
        <v>1</v>
      </c>
      <c r="K18" s="40">
        <v>2.5000000000000001E-4</v>
      </c>
      <c r="L18" s="4">
        <f t="shared" si="0"/>
        <v>3.5534231793419933E-2</v>
      </c>
      <c r="M18" s="42" t="s">
        <v>31</v>
      </c>
      <c r="N18" s="105" t="s">
        <v>75</v>
      </c>
    </row>
    <row r="19" spans="1:18" ht="15.75" thickBot="1" x14ac:dyDescent="0.3">
      <c r="A19" s="116" t="s">
        <v>57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8"/>
    </row>
    <row r="20" spans="1:18" ht="15" x14ac:dyDescent="0.25">
      <c r="A20" s="33" t="s">
        <v>24</v>
      </c>
      <c r="B20" s="34" t="s">
        <v>23</v>
      </c>
      <c r="C20" s="34" t="s">
        <v>8</v>
      </c>
      <c r="D20" s="34" t="s">
        <v>34</v>
      </c>
      <c r="E20" s="34" t="s">
        <v>43</v>
      </c>
      <c r="F20" s="34"/>
      <c r="G20" s="34" t="s">
        <v>7</v>
      </c>
      <c r="H20" s="34" t="s">
        <v>43</v>
      </c>
      <c r="I20" s="34"/>
      <c r="J20" s="34" t="s">
        <v>2</v>
      </c>
      <c r="K20" s="34" t="s">
        <v>43</v>
      </c>
      <c r="L20" s="34" t="s">
        <v>12</v>
      </c>
      <c r="M20" s="35" t="s">
        <v>43</v>
      </c>
    </row>
    <row r="21" spans="1:18" ht="15" x14ac:dyDescent="0.25">
      <c r="A21" s="53" t="s">
        <v>33</v>
      </c>
      <c r="B21" s="54">
        <v>9203</v>
      </c>
      <c r="C21" s="39" t="s">
        <v>71</v>
      </c>
      <c r="D21" s="39">
        <v>1.9683837890625E-3</v>
      </c>
      <c r="E21" s="38" t="s">
        <v>19</v>
      </c>
      <c r="F21" s="4"/>
      <c r="G21" s="62">
        <f>0.06/100</f>
        <v>5.9999999999999995E-4</v>
      </c>
      <c r="H21" s="40" t="s">
        <v>21</v>
      </c>
      <c r="I21" s="4"/>
      <c r="J21" s="61">
        <f>0.18/100</f>
        <v>1.8E-3</v>
      </c>
      <c r="K21" s="40" t="s">
        <v>21</v>
      </c>
      <c r="L21" s="39">
        <v>20</v>
      </c>
      <c r="M21" s="55" t="s">
        <v>19</v>
      </c>
      <c r="O21" s="1"/>
      <c r="P21" s="1"/>
      <c r="Q21" s="1"/>
      <c r="R21" s="1"/>
    </row>
    <row r="22" spans="1:18" ht="12.6" customHeight="1" x14ac:dyDescent="0.2">
      <c r="A22" s="53" t="s">
        <v>33</v>
      </c>
      <c r="B22" s="54">
        <v>9208</v>
      </c>
      <c r="C22" s="39" t="s">
        <v>71</v>
      </c>
      <c r="D22" s="5">
        <f>200/(1000000*0.7071)</f>
        <v>2.82845424975251E-4</v>
      </c>
      <c r="E22" s="5" t="s">
        <v>19</v>
      </c>
      <c r="F22" s="4"/>
      <c r="G22" s="61">
        <f>0.04/100</f>
        <v>4.0000000000000002E-4</v>
      </c>
      <c r="H22" s="40" t="s">
        <v>21</v>
      </c>
      <c r="I22" s="4"/>
      <c r="J22" s="39">
        <f>0.76/100</f>
        <v>7.6E-3</v>
      </c>
      <c r="K22" s="61" t="s">
        <v>21</v>
      </c>
      <c r="L22" s="39">
        <v>20</v>
      </c>
      <c r="M22" s="55" t="s">
        <v>19</v>
      </c>
    </row>
    <row r="23" spans="1:18" ht="15" x14ac:dyDescent="0.25">
      <c r="A23" s="53" t="s">
        <v>33</v>
      </c>
      <c r="B23" s="54">
        <v>9253</v>
      </c>
      <c r="C23" s="39" t="s">
        <v>71</v>
      </c>
      <c r="D23" s="56">
        <v>1.2999999999999999E-4</v>
      </c>
      <c r="E23" s="5" t="s">
        <v>19</v>
      </c>
      <c r="F23" s="4"/>
      <c r="G23" s="61">
        <f>0.08/100</f>
        <v>8.0000000000000004E-4</v>
      </c>
      <c r="H23" s="40" t="s">
        <v>21</v>
      </c>
      <c r="I23" s="4"/>
      <c r="J23" s="39">
        <f>0.41/100</f>
        <v>4.0999999999999995E-3</v>
      </c>
      <c r="K23" s="61" t="s">
        <v>21</v>
      </c>
      <c r="L23" s="39">
        <v>20</v>
      </c>
      <c r="M23" s="55" t="s">
        <v>19</v>
      </c>
    </row>
    <row r="24" spans="1:18" ht="15" x14ac:dyDescent="0.25">
      <c r="A24" s="53" t="s">
        <v>33</v>
      </c>
      <c r="B24" s="54">
        <v>9213</v>
      </c>
      <c r="C24" s="39" t="s">
        <v>36</v>
      </c>
      <c r="D24" s="57">
        <v>7.0000000000000001E-3</v>
      </c>
      <c r="E24" s="3" t="s">
        <v>11</v>
      </c>
      <c r="F24" s="4"/>
      <c r="G24" s="39">
        <v>1.7000000000000001E-2</v>
      </c>
      <c r="H24" s="61" t="s">
        <v>4</v>
      </c>
      <c r="I24" s="4"/>
      <c r="J24" s="39">
        <f>0.16/100</f>
        <v>1.6000000000000001E-3</v>
      </c>
      <c r="K24" s="4" t="s">
        <v>21</v>
      </c>
      <c r="L24" s="5">
        <v>78.125</v>
      </c>
      <c r="M24" s="58" t="s">
        <v>4</v>
      </c>
    </row>
    <row r="25" spans="1:18" ht="12.6" customHeight="1" x14ac:dyDescent="0.2">
      <c r="A25" s="53" t="s">
        <v>33</v>
      </c>
      <c r="B25" s="54">
        <v>9205</v>
      </c>
      <c r="C25" s="39" t="s">
        <v>37</v>
      </c>
      <c r="D25" s="5">
        <f>240/1000000</f>
        <v>2.4000000000000001E-4</v>
      </c>
      <c r="E25" s="5" t="s">
        <v>35</v>
      </c>
      <c r="F25" s="4"/>
      <c r="G25" s="61">
        <f>0.014/100</f>
        <v>1.4000000000000001E-4</v>
      </c>
      <c r="H25" s="40" t="s">
        <v>21</v>
      </c>
      <c r="I25" s="4"/>
      <c r="J25" s="39">
        <f>0.0476/100</f>
        <v>4.7600000000000002E-4</v>
      </c>
      <c r="K25" s="61" t="s">
        <v>21</v>
      </c>
      <c r="L25" s="59">
        <v>10</v>
      </c>
      <c r="M25" s="42" t="s">
        <v>3</v>
      </c>
    </row>
    <row r="26" spans="1:18" ht="12.6" customHeight="1" x14ac:dyDescent="0.2">
      <c r="A26" s="53" t="s">
        <v>33</v>
      </c>
      <c r="B26" s="54">
        <v>9220</v>
      </c>
      <c r="C26" s="39" t="s">
        <v>37</v>
      </c>
      <c r="D26" s="5">
        <f xml:space="preserve"> 0.85 * (21.2/2^16)</f>
        <v>2.7496337890624999E-4</v>
      </c>
      <c r="E26" s="63" t="s">
        <v>35</v>
      </c>
      <c r="F26" s="4"/>
      <c r="G26" s="61">
        <f>0.07/100</f>
        <v>7.000000000000001E-4</v>
      </c>
      <c r="H26" s="40" t="s">
        <v>21</v>
      </c>
      <c r="I26" s="4"/>
      <c r="J26" s="39">
        <f>0.1472/100</f>
        <v>1.472E-3</v>
      </c>
      <c r="K26" s="61" t="s">
        <v>21</v>
      </c>
      <c r="L26" s="5">
        <v>10.5</v>
      </c>
      <c r="M26" s="42" t="s">
        <v>3</v>
      </c>
    </row>
    <row r="27" spans="1:18" ht="12.6" customHeight="1" x14ac:dyDescent="0.2">
      <c r="A27" s="53" t="s">
        <v>33</v>
      </c>
      <c r="B27" s="63">
        <v>9215</v>
      </c>
      <c r="C27" s="39" t="s">
        <v>39</v>
      </c>
      <c r="D27" s="5">
        <f xml:space="preserve"> 1.2 * (21.2/2^16)</f>
        <v>3.8818359374999997E-4</v>
      </c>
      <c r="E27" s="63" t="s">
        <v>35</v>
      </c>
      <c r="F27" s="4"/>
      <c r="G27" s="4">
        <f>0.082/100</f>
        <v>8.1999999999999998E-4</v>
      </c>
      <c r="H27" s="40" t="s">
        <v>21</v>
      </c>
      <c r="I27" s="4"/>
      <c r="J27" s="39">
        <f>0.2/100</f>
        <v>2E-3</v>
      </c>
      <c r="K27" s="61" t="s">
        <v>21</v>
      </c>
      <c r="L27" s="5">
        <v>10.4</v>
      </c>
      <c r="M27" s="42" t="s">
        <v>3</v>
      </c>
    </row>
    <row r="28" spans="1:18" ht="12.6" customHeight="1" x14ac:dyDescent="0.2">
      <c r="A28" s="53" t="s">
        <v>33</v>
      </c>
      <c r="B28" s="63">
        <v>9239</v>
      </c>
      <c r="C28" s="39" t="s">
        <v>39</v>
      </c>
      <c r="D28" s="61">
        <f>0.00007</f>
        <v>6.9999999999999994E-5</v>
      </c>
      <c r="E28" s="40" t="s">
        <v>35</v>
      </c>
      <c r="F28" s="4"/>
      <c r="G28" s="61">
        <f>0.06/100</f>
        <v>5.9999999999999995E-4</v>
      </c>
      <c r="H28" s="40" t="s">
        <v>21</v>
      </c>
      <c r="I28" s="4"/>
      <c r="J28" s="39">
        <f>0.13/100</f>
        <v>1.2999999999999999E-3</v>
      </c>
      <c r="K28" s="61" t="s">
        <v>21</v>
      </c>
      <c r="L28" s="5">
        <v>10.52</v>
      </c>
      <c r="M28" s="42" t="s">
        <v>3</v>
      </c>
    </row>
    <row r="29" spans="1:18" s="13" customFormat="1" ht="15" x14ac:dyDescent="0.25">
      <c r="A29" s="67" t="s">
        <v>33</v>
      </c>
      <c r="B29" s="68">
        <v>9216</v>
      </c>
      <c r="C29" s="69" t="s">
        <v>38</v>
      </c>
      <c r="D29" s="70">
        <f>6/1000</f>
        <v>6.0000000000000001E-3</v>
      </c>
      <c r="E29" s="71" t="s">
        <v>45</v>
      </c>
      <c r="F29" s="72"/>
      <c r="G29" s="72">
        <f>0.083</f>
        <v>8.3000000000000004E-2</v>
      </c>
      <c r="H29" s="72" t="s">
        <v>44</v>
      </c>
      <c r="I29" s="72"/>
      <c r="J29" s="69">
        <f>0.048/100</f>
        <v>4.8000000000000001E-4</v>
      </c>
      <c r="K29" s="73" t="s">
        <v>21</v>
      </c>
      <c r="L29" s="72"/>
      <c r="M29" s="74"/>
      <c r="N29"/>
    </row>
    <row r="30" spans="1:18" s="78" customFormat="1" ht="15" x14ac:dyDescent="0.25">
      <c r="A30" s="67" t="s">
        <v>33</v>
      </c>
      <c r="B30" s="68">
        <v>9217</v>
      </c>
      <c r="C30" s="69" t="s">
        <v>38</v>
      </c>
      <c r="D30" s="70">
        <v>0.02</v>
      </c>
      <c r="E30" s="71" t="s">
        <v>9</v>
      </c>
      <c r="F30" s="75"/>
      <c r="G30" s="73"/>
      <c r="H30" s="76"/>
      <c r="I30" s="75"/>
      <c r="J30" s="69"/>
      <c r="K30" s="73"/>
      <c r="L30" s="72">
        <v>50</v>
      </c>
      <c r="M30" s="74" t="s">
        <v>4</v>
      </c>
      <c r="N30" s="77"/>
    </row>
    <row r="31" spans="1:18" s="1" customFormat="1" ht="14.45" customHeight="1" x14ac:dyDescent="0.2">
      <c r="A31" s="53" t="s">
        <v>33</v>
      </c>
      <c r="B31" s="63">
        <v>9219</v>
      </c>
      <c r="C31" s="39" t="s">
        <v>40</v>
      </c>
      <c r="D31" s="5">
        <f>0.00108*25</f>
        <v>2.7E-2</v>
      </c>
      <c r="E31" s="5" t="s">
        <v>19</v>
      </c>
      <c r="F31" s="3"/>
      <c r="G31" s="61">
        <f>0.01/100</f>
        <v>1E-4</v>
      </c>
      <c r="H31" s="40" t="s">
        <v>21</v>
      </c>
      <c r="I31" s="3"/>
      <c r="J31" s="39">
        <f>0.1/100</f>
        <v>1E-3</v>
      </c>
      <c r="K31" s="61" t="s">
        <v>21</v>
      </c>
      <c r="L31" s="5">
        <v>25</v>
      </c>
      <c r="M31" s="42" t="s">
        <v>19</v>
      </c>
      <c r="N31"/>
    </row>
    <row r="32" spans="1:18" s="80" customFormat="1" ht="14.45" customHeight="1" x14ac:dyDescent="0.25">
      <c r="A32" s="67" t="s">
        <v>33</v>
      </c>
      <c r="B32" s="68">
        <v>9361</v>
      </c>
      <c r="C32" s="69" t="s">
        <v>41</v>
      </c>
      <c r="D32" s="71"/>
      <c r="E32" s="79"/>
      <c r="F32" s="71"/>
      <c r="G32" s="71"/>
      <c r="H32" s="69"/>
      <c r="I32" s="73"/>
      <c r="J32" s="76"/>
      <c r="K32" s="72"/>
      <c r="L32" s="72">
        <v>5</v>
      </c>
      <c r="M32" s="74" t="s">
        <v>3</v>
      </c>
      <c r="N32" s="77"/>
    </row>
    <row r="33" spans="1:36" s="92" customFormat="1" ht="14.45" customHeight="1" x14ac:dyDescent="0.25">
      <c r="A33" s="83" t="s">
        <v>33</v>
      </c>
      <c r="B33" s="84">
        <v>9375</v>
      </c>
      <c r="C33" s="66" t="s">
        <v>37</v>
      </c>
      <c r="D33" s="85"/>
      <c r="E33" s="86"/>
      <c r="F33" s="66"/>
      <c r="G33" s="87"/>
      <c r="H33" s="86"/>
      <c r="I33" s="88"/>
      <c r="J33" s="89"/>
      <c r="K33" s="86"/>
      <c r="L33" s="66"/>
      <c r="M33" s="90"/>
      <c r="N33" s="91"/>
    </row>
    <row r="34" spans="1:36" s="82" customFormat="1" ht="15.75" thickBot="1" x14ac:dyDescent="0.3">
      <c r="A34" s="67" t="s">
        <v>33</v>
      </c>
      <c r="B34" s="68">
        <v>9472</v>
      </c>
      <c r="C34" s="69" t="s">
        <v>42</v>
      </c>
      <c r="D34" s="79"/>
      <c r="E34" s="71"/>
      <c r="F34" s="69"/>
      <c r="G34" s="73"/>
      <c r="H34" s="76"/>
      <c r="I34" s="72"/>
      <c r="J34" s="72"/>
      <c r="K34" s="72"/>
      <c r="L34" s="69"/>
      <c r="M34" s="81"/>
      <c r="N34" s="77"/>
    </row>
    <row r="35" spans="1:36" ht="12.95" customHeight="1" thickBot="1" x14ac:dyDescent="0.25">
      <c r="A35" s="119" t="s">
        <v>5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1"/>
    </row>
    <row r="36" spans="1:36" ht="15" x14ac:dyDescent="0.25">
      <c r="A36" s="64" t="s">
        <v>46</v>
      </c>
      <c r="B36" s="64" t="s">
        <v>23</v>
      </c>
      <c r="C36" s="64"/>
      <c r="D36" s="64" t="s">
        <v>8</v>
      </c>
      <c r="E36" s="64"/>
      <c r="F36" s="64" t="s">
        <v>47</v>
      </c>
      <c r="G36" s="64" t="s">
        <v>43</v>
      </c>
      <c r="H36" s="64" t="s">
        <v>48</v>
      </c>
      <c r="I36" s="64" t="s">
        <v>43</v>
      </c>
      <c r="J36" s="64" t="s">
        <v>13</v>
      </c>
      <c r="K36" s="7" t="s">
        <v>43</v>
      </c>
      <c r="L36" s="8" t="s">
        <v>18</v>
      </c>
      <c r="M36" s="60" t="s">
        <v>43</v>
      </c>
    </row>
    <row r="37" spans="1:36" ht="12.6" customHeight="1" x14ac:dyDescent="0.2">
      <c r="A37" s="31" t="s">
        <v>62</v>
      </c>
      <c r="B37" s="4" t="s">
        <v>49</v>
      </c>
      <c r="C37" s="4"/>
      <c r="D37" s="3" t="s">
        <v>60</v>
      </c>
      <c r="E37" s="4"/>
      <c r="F37" s="54">
        <v>400</v>
      </c>
      <c r="G37" s="24" t="s">
        <v>9</v>
      </c>
      <c r="H37" s="24">
        <v>20.872</v>
      </c>
      <c r="I37" s="5" t="s">
        <v>4</v>
      </c>
      <c r="J37" s="4">
        <v>0.5</v>
      </c>
      <c r="K37" s="5" t="s">
        <v>9</v>
      </c>
      <c r="L37" s="4">
        <f>H37/F37</f>
        <v>5.2179999999999997E-2</v>
      </c>
      <c r="M37" s="42" t="s">
        <v>14</v>
      </c>
    </row>
    <row r="38" spans="1:36" ht="12.6" customHeight="1" x14ac:dyDescent="0.2">
      <c r="A38" s="53" t="s">
        <v>63</v>
      </c>
      <c r="B38" s="3"/>
      <c r="C38" s="3"/>
      <c r="D38" s="65" t="s">
        <v>60</v>
      </c>
      <c r="E38" s="3"/>
      <c r="F38" s="54">
        <v>400</v>
      </c>
      <c r="G38" s="24" t="s">
        <v>9</v>
      </c>
      <c r="H38" s="24">
        <v>20.872</v>
      </c>
      <c r="I38" s="5" t="s">
        <v>4</v>
      </c>
      <c r="J38" s="4">
        <v>0.5</v>
      </c>
      <c r="K38" s="5" t="s">
        <v>9</v>
      </c>
      <c r="L38" s="4">
        <f>H38/F38</f>
        <v>5.2179999999999997E-2</v>
      </c>
      <c r="M38" s="42" t="s">
        <v>14</v>
      </c>
    </row>
    <row r="39" spans="1:36" s="1" customFormat="1" ht="12.6" customHeight="1" x14ac:dyDescent="0.2">
      <c r="A39" s="31" t="s">
        <v>64</v>
      </c>
      <c r="B39" s="4" t="s">
        <v>50</v>
      </c>
      <c r="C39" s="4"/>
      <c r="D39" s="31" t="s">
        <v>61</v>
      </c>
      <c r="E39" s="4"/>
      <c r="F39" s="54">
        <v>1372</v>
      </c>
      <c r="G39" s="24" t="s">
        <v>9</v>
      </c>
      <c r="H39" s="24">
        <v>54.886000000000003</v>
      </c>
      <c r="I39" s="5" t="s">
        <v>4</v>
      </c>
      <c r="J39" s="4">
        <v>1.1000000000000001</v>
      </c>
      <c r="K39" s="5" t="s">
        <v>9</v>
      </c>
      <c r="L39" s="4">
        <f>H39/F39</f>
        <v>4.000437317784257E-2</v>
      </c>
      <c r="M39" s="42" t="s">
        <v>14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 spans="1:36" ht="12.6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10"/>
    </row>
    <row r="41" spans="1:36" ht="12.6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10"/>
      <c r="N41" s="1"/>
      <c r="O41" s="1"/>
      <c r="P41" s="1"/>
      <c r="Q41" s="1"/>
      <c r="R41" s="1"/>
      <c r="S41" s="1"/>
    </row>
    <row r="42" spans="1:36" s="1" customFormat="1" ht="12.95" customHeight="1" x14ac:dyDescent="0.2">
      <c r="L42"/>
      <c r="M42" s="2"/>
      <c r="N42"/>
      <c r="O42"/>
      <c r="P42"/>
      <c r="Q42"/>
      <c r="R42"/>
    </row>
    <row r="43" spans="1:36" ht="12.6" customHeight="1" x14ac:dyDescent="0.2">
      <c r="K43" s="12"/>
    </row>
    <row r="44" spans="1:36" x14ac:dyDescent="0.2">
      <c r="K44" s="12"/>
    </row>
    <row r="45" spans="1:36" x14ac:dyDescent="0.2">
      <c r="K45" s="12"/>
    </row>
    <row r="46" spans="1:36" s="1" customFormat="1" x14ac:dyDescent="0.2"/>
  </sheetData>
  <mergeCells count="4">
    <mergeCell ref="A7:M7"/>
    <mergeCell ref="A19:M19"/>
    <mergeCell ref="A35:M35"/>
    <mergeCell ref="A1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Cal</vt:lpstr>
      <vt:lpstr>Look up</vt:lpstr>
      <vt:lpstr>Conax_T</vt:lpstr>
      <vt:lpstr>DAQ</vt:lpstr>
      <vt:lpstr>K</vt:lpstr>
      <vt:lpstr>NI</vt:lpstr>
      <vt:lpstr>NoShok</vt:lpstr>
      <vt:lpstr>Omega_K</vt:lpstr>
      <vt:lpstr>Omega_T</vt:lpstr>
      <vt:lpstr>PT</vt:lpstr>
      <vt:lpstr>Stellar</vt:lpstr>
      <vt:lpstr>T</vt:lpstr>
      <vt:lpstr>TC</vt:lpstr>
    </vt:vector>
  </TitlesOfParts>
  <Company>CSA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Toth</dc:creator>
  <dc:description/>
  <cp:lastModifiedBy>Gill, Jashan</cp:lastModifiedBy>
  <cp:revision>1</cp:revision>
  <cp:lastPrinted>2007-11-06T11:25:46Z</cp:lastPrinted>
  <dcterms:created xsi:type="dcterms:W3CDTF">2003-07-16T13:55:48Z</dcterms:created>
  <dcterms:modified xsi:type="dcterms:W3CDTF">2026-01-26T16:37:58Z</dcterms:modified>
  <dc:language>en-US</dc:language>
</cp:coreProperties>
</file>